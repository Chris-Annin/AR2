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2040" windowHeight="117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P81" i="1" l="1"/>
  <c r="Q74" i="1" l="1"/>
  <c r="O74" i="1"/>
  <c r="Q81" i="1" l="1"/>
  <c r="Q80" i="1"/>
  <c r="P80" i="1"/>
  <c r="Q76" i="1"/>
  <c r="O76" i="1"/>
  <c r="P70" i="1"/>
  <c r="O70" i="1"/>
  <c r="P69" i="1"/>
  <c r="O69" i="1"/>
  <c r="O5" i="1" l="1"/>
  <c r="O6" i="1"/>
  <c r="O7" i="1"/>
  <c r="O8" i="1"/>
  <c r="O9" i="1"/>
  <c r="O4" i="1"/>
  <c r="T74" i="1" l="1"/>
  <c r="S72" i="1" l="1"/>
  <c r="S74" i="1"/>
  <c r="U73" i="1"/>
  <c r="U74" i="1"/>
  <c r="U72" i="1"/>
  <c r="T73" i="1"/>
  <c r="S73" i="1"/>
  <c r="T72" i="1"/>
  <c r="R65" i="1"/>
  <c r="R59" i="1"/>
  <c r="R53" i="1"/>
  <c r="R47" i="1"/>
  <c r="Q47" i="1"/>
  <c r="P47" i="1"/>
  <c r="O47" i="1"/>
  <c r="R46" i="1"/>
  <c r="Q46" i="1"/>
  <c r="P46" i="1"/>
  <c r="O46" i="1"/>
  <c r="R45" i="1"/>
  <c r="Q45" i="1"/>
  <c r="P45" i="1"/>
  <c r="O45" i="1"/>
  <c r="Q42" i="1"/>
  <c r="Q41" i="1"/>
  <c r="Q40" i="1"/>
  <c r="Q39" i="1"/>
  <c r="Q65" i="1" s="1"/>
  <c r="Q38" i="1"/>
  <c r="P59" i="1" s="1"/>
  <c r="Q37" i="1"/>
  <c r="Q53" i="1" s="1"/>
  <c r="S79" i="1" l="1"/>
  <c r="T79" i="1"/>
  <c r="U79" i="1"/>
  <c r="S77" i="1"/>
  <c r="U77" i="1"/>
  <c r="T77" i="1"/>
  <c r="U78" i="1"/>
  <c r="S78" i="1"/>
  <c r="T78" i="1"/>
  <c r="Q59" i="1"/>
  <c r="P53" i="1"/>
  <c r="P65" i="1"/>
  <c r="B65" i="1" l="1"/>
  <c r="D64" i="1"/>
  <c r="C64" i="1"/>
  <c r="B64" i="1"/>
  <c r="D63" i="1"/>
  <c r="C63" i="1"/>
  <c r="B63" i="1"/>
  <c r="D65" i="1"/>
  <c r="C65" i="1"/>
  <c r="D23" i="1"/>
  <c r="C23" i="1"/>
  <c r="D22" i="1"/>
  <c r="C22" i="1"/>
  <c r="D21" i="1"/>
  <c r="C21" i="1"/>
  <c r="B22" i="1"/>
  <c r="B21" i="1"/>
  <c r="B23" i="1"/>
  <c r="E65" i="1"/>
  <c r="E64" i="1"/>
  <c r="E63" i="1"/>
  <c r="E23" i="1" l="1"/>
  <c r="E22" i="1"/>
  <c r="E21" i="1"/>
  <c r="D13" i="1" l="1"/>
  <c r="D16" i="1"/>
  <c r="D17" i="1"/>
  <c r="D15" i="1"/>
  <c r="P24" i="1" l="1"/>
  <c r="P30" i="1" l="1"/>
  <c r="Q30" i="1" s="1"/>
  <c r="C9" i="1" l="1"/>
  <c r="C6" i="1"/>
  <c r="C7" i="1"/>
  <c r="D18" i="1" l="1"/>
  <c r="D14" i="1"/>
  <c r="C16" i="1"/>
  <c r="C5" i="1"/>
  <c r="C14" i="1" s="1"/>
  <c r="C15" i="1"/>
  <c r="C8" i="1"/>
  <c r="C17" i="1" s="1"/>
  <c r="C18" i="1"/>
  <c r="D58" i="1" l="1"/>
  <c r="C45" i="1"/>
  <c r="B45" i="1"/>
  <c r="E52" i="1"/>
  <c r="E51" i="1"/>
  <c r="D29" i="1"/>
  <c r="E29" i="1"/>
  <c r="C33" i="1"/>
  <c r="E47" i="1"/>
  <c r="E59" i="1" l="1"/>
  <c r="E58" i="1"/>
  <c r="E57" i="1"/>
  <c r="D59" i="1"/>
  <c r="B57" i="1"/>
  <c r="D57" i="1"/>
  <c r="C59" i="1"/>
  <c r="C58" i="1"/>
  <c r="C57" i="1"/>
  <c r="B58" i="1"/>
  <c r="E53" i="1"/>
  <c r="D53" i="1"/>
  <c r="D52" i="1"/>
  <c r="D51" i="1"/>
  <c r="C53" i="1"/>
  <c r="C52" i="1"/>
  <c r="C51" i="1"/>
  <c r="B52" i="1"/>
  <c r="B51" i="1"/>
  <c r="E46" i="1"/>
  <c r="E45" i="1"/>
  <c r="D47" i="1"/>
  <c r="D46" i="1"/>
  <c r="D45" i="1"/>
  <c r="C47" i="1"/>
  <c r="C46" i="1"/>
  <c r="B46" i="1"/>
  <c r="E41" i="1" l="1"/>
  <c r="E40" i="1"/>
  <c r="E39" i="1"/>
  <c r="D41" i="1"/>
  <c r="D40" i="1"/>
  <c r="D39" i="1"/>
  <c r="C41" i="1"/>
  <c r="C40" i="1"/>
  <c r="C39" i="1"/>
  <c r="B40" i="1"/>
  <c r="B39" i="1"/>
  <c r="E35" i="1"/>
  <c r="E34" i="1"/>
  <c r="E33" i="1"/>
  <c r="D35" i="1"/>
  <c r="D34" i="1"/>
  <c r="D33" i="1"/>
  <c r="C35" i="1"/>
  <c r="C34" i="1"/>
  <c r="B34" i="1"/>
  <c r="B33" i="1"/>
  <c r="C29" i="1"/>
  <c r="C4" i="1"/>
  <c r="C13" i="1" s="1"/>
  <c r="D28" i="1" l="1"/>
  <c r="C27" i="1"/>
  <c r="D27" i="1"/>
  <c r="E27" i="1"/>
  <c r="B28" i="1"/>
  <c r="C28" i="1"/>
  <c r="B27" i="1"/>
  <c r="E28" i="1"/>
  <c r="E7" i="1" l="1"/>
  <c r="G27" i="1"/>
  <c r="G26" i="1"/>
  <c r="G25" i="1"/>
  <c r="G24" i="1"/>
  <c r="I26" i="1"/>
  <c r="I27" i="1"/>
  <c r="I24" i="1"/>
  <c r="I25" i="1"/>
  <c r="H25" i="1"/>
  <c r="H27" i="1"/>
  <c r="H26" i="1"/>
  <c r="H24" i="1"/>
  <c r="J26" i="1"/>
  <c r="J27" i="1"/>
  <c r="J25" i="1"/>
  <c r="J24" i="1"/>
  <c r="I33" i="1" l="1"/>
  <c r="H33" i="1"/>
  <c r="G33" i="1"/>
  <c r="J33" i="1"/>
  <c r="J30" i="1"/>
  <c r="G30" i="1"/>
  <c r="H30" i="1"/>
  <c r="I30" i="1"/>
  <c r="J31" i="1"/>
  <c r="I31" i="1"/>
  <c r="G31" i="1"/>
  <c r="H31" i="1"/>
  <c r="H32" i="1"/>
  <c r="G32" i="1"/>
  <c r="J32" i="1"/>
  <c r="I32" i="1"/>
  <c r="I37" i="1" l="1"/>
  <c r="G37" i="1"/>
  <c r="J37" i="1"/>
  <c r="H37" i="1"/>
  <c r="H39" i="1"/>
  <c r="J39" i="1"/>
  <c r="I39" i="1"/>
  <c r="G39" i="1"/>
  <c r="G38" i="1"/>
  <c r="J38" i="1"/>
  <c r="I38" i="1"/>
  <c r="H38" i="1"/>
  <c r="H36" i="1"/>
  <c r="J36" i="1"/>
  <c r="I36" i="1"/>
  <c r="G36" i="1"/>
  <c r="J43" i="1" l="1"/>
  <c r="G43" i="1"/>
  <c r="I43" i="1"/>
  <c r="H43" i="1"/>
  <c r="J44" i="1"/>
  <c r="H44" i="1"/>
  <c r="G44" i="1"/>
  <c r="I44" i="1"/>
  <c r="I42" i="1"/>
  <c r="G42" i="1"/>
  <c r="H42" i="1"/>
  <c r="J42" i="1"/>
  <c r="I45" i="1"/>
  <c r="G45" i="1"/>
  <c r="J45" i="1"/>
  <c r="H45" i="1"/>
  <c r="G48" i="1" l="1"/>
  <c r="H48" i="1"/>
  <c r="I48" i="1"/>
  <c r="J48" i="1"/>
  <c r="H4" i="1" s="1"/>
  <c r="H50" i="1"/>
  <c r="G50" i="1"/>
  <c r="J50" i="1"/>
  <c r="H6" i="1" s="1"/>
  <c r="P17" i="1" s="1"/>
  <c r="I50" i="1"/>
  <c r="H49" i="1"/>
  <c r="I49" i="1"/>
  <c r="J49" i="1"/>
  <c r="H5" i="1" s="1"/>
  <c r="G49" i="1"/>
  <c r="J51" i="1"/>
  <c r="G51" i="1"/>
  <c r="H51" i="1"/>
  <c r="I51" i="1"/>
  <c r="P15" i="1" l="1"/>
  <c r="P13" i="1"/>
  <c r="P14" i="1"/>
  <c r="I57" i="1"/>
  <c r="J57" i="1"/>
  <c r="G57" i="1"/>
  <c r="H57" i="1"/>
  <c r="E8" i="1"/>
  <c r="J56" i="1"/>
  <c r="G56" i="1"/>
  <c r="H56" i="1"/>
  <c r="I56" i="1"/>
  <c r="J55" i="1"/>
  <c r="G55" i="1"/>
  <c r="I55" i="1"/>
  <c r="H55" i="1"/>
  <c r="H54" i="1"/>
  <c r="J54" i="1"/>
  <c r="I54" i="1"/>
  <c r="G54" i="1"/>
  <c r="Q13" i="1" l="1"/>
  <c r="Q4" i="1" s="1"/>
  <c r="P37" i="1" s="1"/>
  <c r="Q52" i="1" s="1"/>
  <c r="P16" i="1"/>
  <c r="G62" i="1"/>
  <c r="O86" i="1" s="1"/>
  <c r="H62" i="1"/>
  <c r="P86" i="1" s="1"/>
  <c r="J62" i="1"/>
  <c r="I62" i="1"/>
  <c r="Q86" i="1" s="1"/>
  <c r="H60" i="1"/>
  <c r="P84" i="1" s="1"/>
  <c r="I60" i="1"/>
  <c r="Q84" i="1" s="1"/>
  <c r="G60" i="1"/>
  <c r="O84" i="1" s="1"/>
  <c r="J60" i="1"/>
  <c r="G63" i="1"/>
  <c r="H63" i="1"/>
  <c r="J63" i="1"/>
  <c r="I63" i="1"/>
  <c r="G61" i="1"/>
  <c r="O85" i="1" s="1"/>
  <c r="J61" i="1"/>
  <c r="I61" i="1"/>
  <c r="Q85" i="1" s="1"/>
  <c r="H61" i="1"/>
  <c r="P85" i="1" s="1"/>
  <c r="U83" i="1" l="1"/>
  <c r="S82" i="1"/>
  <c r="S84" i="1"/>
  <c r="S83" i="1"/>
  <c r="U84" i="1"/>
  <c r="U82" i="1"/>
  <c r="T83" i="1"/>
  <c r="T82" i="1"/>
  <c r="T84" i="1"/>
  <c r="Q51" i="1"/>
  <c r="V50" i="1" s="1"/>
  <c r="O52" i="1"/>
  <c r="O51" i="1"/>
  <c r="P52" i="1"/>
  <c r="Q16" i="1"/>
  <c r="R51" i="1"/>
  <c r="R52" i="1"/>
  <c r="P51" i="1"/>
  <c r="P25" i="1"/>
  <c r="Q25" i="1" s="1"/>
  <c r="P23" i="1"/>
  <c r="Q23" i="1" s="1"/>
  <c r="P22" i="1"/>
  <c r="Q22" i="1" s="1"/>
  <c r="P19" i="1"/>
  <c r="P26" i="1" s="1"/>
  <c r="I8" i="1"/>
  <c r="H8" i="1" l="1"/>
  <c r="U49" i="1"/>
  <c r="T49" i="1"/>
  <c r="W49" i="1"/>
  <c r="T50" i="1"/>
  <c r="V51" i="1"/>
  <c r="V49" i="1"/>
  <c r="W51" i="1"/>
  <c r="W48" i="1"/>
  <c r="V48" i="1"/>
  <c r="W50" i="1"/>
  <c r="T48" i="1"/>
  <c r="U48" i="1"/>
  <c r="U50" i="1"/>
  <c r="T51" i="1"/>
  <c r="U51" i="1"/>
  <c r="I7" i="1"/>
  <c r="Q26" i="1"/>
  <c r="Q28" i="1" s="1"/>
  <c r="P32" i="1"/>
  <c r="Q32" i="1" s="1"/>
  <c r="Q6" i="1" s="1"/>
  <c r="P39" i="1" s="1"/>
  <c r="P33" i="1"/>
  <c r="Q33" i="1" s="1"/>
  <c r="P27" i="1"/>
  <c r="Q27" i="1" s="1"/>
  <c r="I9" i="1"/>
  <c r="H9" i="1" l="1"/>
  <c r="H7" i="1"/>
  <c r="Q63" i="1"/>
  <c r="R63" i="1"/>
  <c r="P64" i="1"/>
  <c r="O64" i="1"/>
  <c r="Q64" i="1"/>
  <c r="R64" i="1"/>
  <c r="O63" i="1"/>
  <c r="P63" i="1"/>
  <c r="Q5" i="1"/>
  <c r="P38" i="1" s="1"/>
  <c r="Q58" i="1" l="1"/>
  <c r="O58" i="1"/>
  <c r="R57" i="1"/>
  <c r="P57" i="1"/>
  <c r="Q57" i="1"/>
  <c r="O57" i="1"/>
  <c r="P58" i="1"/>
  <c r="R58" i="1"/>
  <c r="U57" i="1" l="1"/>
  <c r="U56" i="1"/>
  <c r="U54" i="1"/>
  <c r="U55" i="1"/>
  <c r="T57" i="1"/>
  <c r="T54" i="1"/>
  <c r="T56" i="1"/>
  <c r="T55" i="1"/>
  <c r="W56" i="1"/>
  <c r="W57" i="1"/>
  <c r="W54" i="1"/>
  <c r="W55" i="1"/>
  <c r="V55" i="1"/>
  <c r="V57" i="1"/>
  <c r="V56" i="1"/>
  <c r="V54" i="1"/>
  <c r="T61" i="1" l="1"/>
  <c r="W62" i="1"/>
  <c r="V62" i="1"/>
  <c r="T62" i="1"/>
  <c r="U62" i="1"/>
  <c r="W63" i="1"/>
  <c r="U63" i="1"/>
  <c r="T63" i="1"/>
  <c r="V63" i="1"/>
  <c r="U61" i="1"/>
  <c r="V61" i="1"/>
  <c r="W61" i="1"/>
  <c r="V60" i="1"/>
  <c r="T60" i="1"/>
  <c r="U60" i="1"/>
  <c r="W60" i="1"/>
  <c r="Z52" i="1" l="1"/>
  <c r="AB50" i="1"/>
  <c r="Z50" i="1"/>
  <c r="AB52" i="1"/>
  <c r="AA53" i="1"/>
  <c r="AC53" i="1"/>
  <c r="AA48" i="1"/>
  <c r="AC48" i="1"/>
  <c r="AA49" i="1"/>
  <c r="AC51" i="1"/>
  <c r="AA51" i="1"/>
  <c r="AC49" i="1"/>
  <c r="AD52" i="1"/>
  <c r="AD50" i="1"/>
  <c r="Y50" i="1"/>
  <c r="Y52" i="1"/>
  <c r="AB53" i="1"/>
  <c r="Z48" i="1"/>
  <c r="Z53" i="1"/>
  <c r="AB48" i="1"/>
  <c r="Z51" i="1"/>
  <c r="AB49" i="1"/>
  <c r="Z49" i="1"/>
  <c r="AB51" i="1"/>
  <c r="AC52" i="1"/>
  <c r="AA52" i="1"/>
  <c r="AC50" i="1"/>
  <c r="AA50" i="1"/>
  <c r="AD48" i="1"/>
  <c r="Y53" i="1"/>
  <c r="AD53" i="1"/>
  <c r="Y48" i="1"/>
  <c r="AD51" i="1"/>
  <c r="AD49" i="1"/>
  <c r="Y51" i="1"/>
  <c r="Y49" i="1"/>
  <c r="Z58" i="1" l="1"/>
  <c r="AD63" i="1" s="1"/>
  <c r="AA67" i="1" s="1"/>
  <c r="AA58" i="1"/>
  <c r="AE63" i="1" s="1"/>
  <c r="AA68" i="1" s="1"/>
  <c r="Z56" i="1"/>
  <c r="AD61" i="1" s="1"/>
  <c r="Y67" i="1" s="1"/>
  <c r="Y56" i="1"/>
  <c r="AC61" i="1" s="1"/>
  <c r="Y58" i="1"/>
  <c r="AC63" i="1" s="1"/>
  <c r="AA66" i="1" s="1"/>
  <c r="Z57" i="1"/>
  <c r="AD62" i="1" s="1"/>
  <c r="Z67" i="1" s="1"/>
  <c r="Y57" i="1"/>
  <c r="AC62" i="1" s="1"/>
  <c r="Z66" i="1" s="1"/>
  <c r="AA57" i="1"/>
  <c r="AE62" i="1" s="1"/>
  <c r="Z68" i="1" s="1"/>
  <c r="AA56" i="1"/>
  <c r="AE61" i="1" s="1"/>
  <c r="Y68" i="1" s="1"/>
  <c r="Y66" i="1" l="1"/>
  <c r="Y71" i="1"/>
  <c r="AB72" i="1" l="1"/>
  <c r="AA73" i="1"/>
  <c r="AC72" i="1"/>
  <c r="AB73" i="1"/>
  <c r="AA71" i="1"/>
  <c r="AC73" i="1"/>
  <c r="AB71" i="1"/>
  <c r="AC71" i="1"/>
  <c r="AA72" i="1"/>
  <c r="Q90" i="1" l="1"/>
  <c r="O90" i="1"/>
  <c r="P90" i="1"/>
  <c r="O89" i="1"/>
  <c r="P89" i="1"/>
  <c r="Q89" i="1"/>
  <c r="AA76" i="1"/>
  <c r="AA77" i="1"/>
  <c r="AA78" i="1"/>
  <c r="AC77" i="1"/>
  <c r="AC78" i="1"/>
  <c r="AC76" i="1"/>
  <c r="AB76" i="1"/>
  <c r="AB77" i="1"/>
  <c r="AB78" i="1"/>
  <c r="O91" i="1"/>
  <c r="P91" i="1"/>
  <c r="Q91" i="1"/>
  <c r="R8" i="1" l="1"/>
  <c r="S7" i="1"/>
  <c r="S9" i="1"/>
  <c r="R9" i="1"/>
  <c r="S8" i="1"/>
  <c r="R7" i="1"/>
  <c r="Q8" i="1" l="1"/>
  <c r="P41" i="1" s="1"/>
  <c r="Q9" i="1" l="1"/>
  <c r="P42" i="1" s="1"/>
  <c r="Q7" i="1"/>
  <c r="P40" i="1" s="1"/>
</calcChain>
</file>

<file path=xl/sharedStrings.xml><?xml version="1.0" encoding="utf-8"?>
<sst xmlns="http://schemas.openxmlformats.org/spreadsheetml/2006/main" count="131" uniqueCount="88">
  <si>
    <t>joint</t>
  </si>
  <si>
    <t>theta</t>
  </si>
  <si>
    <t>alpa</t>
  </si>
  <si>
    <t>d</t>
  </si>
  <si>
    <t>a</t>
  </si>
  <si>
    <t>J1</t>
  </si>
  <si>
    <t>J2</t>
  </si>
  <si>
    <t>J3</t>
  </si>
  <si>
    <t>J4</t>
  </si>
  <si>
    <t>J5</t>
  </si>
  <si>
    <t>J6</t>
  </si>
  <si>
    <t>degrees</t>
  </si>
  <si>
    <t>radians</t>
  </si>
  <si>
    <t>J1 ang</t>
  </si>
  <si>
    <t>(Y) z-d1</t>
  </si>
  <si>
    <t>INVERSE KINAMATICS</t>
  </si>
  <si>
    <t>deg</t>
  </si>
  <si>
    <t xml:space="preserve">J2 angle </t>
  </si>
  <si>
    <t>y</t>
  </si>
  <si>
    <t>(D7) dist J2 to P</t>
  </si>
  <si>
    <t>Θ1</t>
  </si>
  <si>
    <t>D8</t>
  </si>
  <si>
    <t>Θ4</t>
  </si>
  <si>
    <t>(X) arm length a2,3+a1</t>
  </si>
  <si>
    <t>(X) arm length a2,3-a1</t>
  </si>
  <si>
    <t>Θ2 using ATAN2</t>
  </si>
  <si>
    <t>Θ2 using ACOS</t>
  </si>
  <si>
    <t>J3 angle using ACOS</t>
  </si>
  <si>
    <t>J3 angle using ATAN2</t>
  </si>
  <si>
    <t>Θ5</t>
  </si>
  <si>
    <t>Θ6</t>
  </si>
  <si>
    <t>QU-J5</t>
  </si>
  <si>
    <t>QU-J1</t>
  </si>
  <si>
    <t>(X) arm length a2,3</t>
  </si>
  <si>
    <t>FORWARD KINAMATICS</t>
  </si>
  <si>
    <t>IN</t>
  </si>
  <si>
    <t>OUT</t>
  </si>
  <si>
    <t xml:space="preserve">IN </t>
  </si>
  <si>
    <t>roll (z)</t>
  </si>
  <si>
    <t>pitch (y)</t>
  </si>
  <si>
    <t>yaw (x)</t>
  </si>
  <si>
    <t>WORK FRAME</t>
  </si>
  <si>
    <t>TOOL FRAME</t>
  </si>
  <si>
    <t>X</t>
  </si>
  <si>
    <t>Y</t>
  </si>
  <si>
    <t>Z</t>
  </si>
  <si>
    <t>WF*J1</t>
  </si>
  <si>
    <t>(WF*J1)*J2</t>
  </si>
  <si>
    <t>(WF*J1*J2)*J3</t>
  </si>
  <si>
    <t>DH params</t>
  </si>
  <si>
    <t>R 0-1</t>
  </si>
  <si>
    <t>R 0-2</t>
  </si>
  <si>
    <t>R 0-3</t>
  </si>
  <si>
    <t>R 0-4</t>
  </si>
  <si>
    <t>R 0-5</t>
  </si>
  <si>
    <t>R 0-6</t>
  </si>
  <si>
    <t>R 0-T</t>
  </si>
  <si>
    <t>Current R 0-T</t>
  </si>
  <si>
    <t>change X</t>
  </si>
  <si>
    <t>change Z</t>
  </si>
  <si>
    <t xml:space="preserve"> change Y</t>
  </si>
  <si>
    <t>Z change</t>
  </si>
  <si>
    <t>X change</t>
  </si>
  <si>
    <t>Z*Y</t>
  </si>
  <si>
    <t>Z*Y*X</t>
  </si>
  <si>
    <t>Z*Y*X*0-T</t>
  </si>
  <si>
    <t>matrix of minors</t>
  </si>
  <si>
    <t>determinant</t>
  </si>
  <si>
    <t>matrix of minors determinant</t>
  </si>
  <si>
    <t>matrix  of cofactors</t>
  </si>
  <si>
    <t>=</t>
  </si>
  <si>
    <t>adjugate</t>
  </si>
  <si>
    <t>https://www.youtube.com/watch?v=S4n-tQZnU6o</t>
  </si>
  <si>
    <t>FIND INVERSE OF (WF*J1*J2)*J3</t>
  </si>
  <si>
    <t>PROOF: ((WF*J1*J2)*J3) * its invers should always = identity matrix</t>
  </si>
  <si>
    <r>
      <rPr>
        <b/>
        <sz val="11"/>
        <color theme="1"/>
        <rFont val="Calibri"/>
        <family val="2"/>
        <scheme val="minor"/>
      </rPr>
      <t>INVERSE (WF*J1*J2)*J3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(1/determinant * adjugate)</t>
    </r>
  </si>
  <si>
    <r>
      <rPr>
        <b/>
        <sz val="11"/>
        <color theme="1"/>
        <rFont val="Calibri"/>
        <family val="2"/>
        <scheme val="minor"/>
      </rPr>
      <t>R,3-6</t>
    </r>
    <r>
      <rPr>
        <sz val="11"/>
        <color theme="1"/>
        <rFont val="Calibri"/>
        <family val="2"/>
        <scheme val="minor"/>
      </rPr>
      <t xml:space="preserve">     </t>
    </r>
    <r>
      <rPr>
        <i/>
        <sz val="11"/>
        <color theme="1"/>
        <rFont val="Calibri"/>
        <family val="2"/>
        <scheme val="minor"/>
      </rPr>
      <t>(T0-6 * change in rotation * invers of T 0-3)</t>
    </r>
  </si>
  <si>
    <t>Θ</t>
  </si>
  <si>
    <t>α</t>
  </si>
  <si>
    <t>PREVIOUS XYZ</t>
  </si>
  <si>
    <t>NEW XYZ</t>
  </si>
  <si>
    <t>p</t>
  </si>
  <si>
    <t>r</t>
  </si>
  <si>
    <t>change y</t>
  </si>
  <si>
    <t>change p</t>
  </si>
  <si>
    <t>change r</t>
  </si>
  <si>
    <t>Rev.1</t>
  </si>
  <si>
    <t>Y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</si>
</sst>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/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1" xfId="0" applyBorder="1"/>
    <xf numFmtId="0" fontId="0" fillId="0" borderId="0" xfId="0" applyAlignment="1"/>
    <xf numFmtId="0" fontId="0" fillId="4" borderId="1" xfId="0" applyFill="1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/>
    <xf numFmtId="0" fontId="0" fillId="0" borderId="0" xfId="0" applyFill="1"/>
    <xf numFmtId="0" fontId="0" fillId="0" borderId="0" xfId="0" applyFill="1" applyBorder="1"/>
    <xf numFmtId="0" fontId="0" fillId="0" borderId="0" xfId="0" applyFill="1" applyAlignment="1">
      <alignment horizontal="center"/>
    </xf>
    <xf numFmtId="0" fontId="0" fillId="5" borderId="2" xfId="0" applyFill="1" applyBorder="1"/>
    <xf numFmtId="0" fontId="0" fillId="5" borderId="0" xfId="0" applyFill="1" applyBorder="1"/>
    <xf numFmtId="0" fontId="0" fillId="5" borderId="0" xfId="0" applyFill="1" applyBorder="1" applyAlignment="1">
      <alignment wrapText="1"/>
    </xf>
    <xf numFmtId="0" fontId="0" fillId="0" borderId="11" xfId="0" applyBorder="1"/>
    <xf numFmtId="0" fontId="0" fillId="0" borderId="11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8" borderId="1" xfId="0" applyFill="1" applyBorder="1"/>
    <xf numFmtId="0" fontId="0" fillId="9" borderId="0" xfId="0" applyFill="1"/>
    <xf numFmtId="0" fontId="0" fillId="9" borderId="0" xfId="0" applyFill="1" applyAlignment="1">
      <alignment wrapText="1"/>
    </xf>
    <xf numFmtId="0" fontId="0" fillId="0" borderId="0" xfId="0" applyFill="1" applyBorder="1" applyAlignment="1">
      <alignment horizontal="center"/>
    </xf>
    <xf numFmtId="0" fontId="0" fillId="10" borderId="1" xfId="0" applyFill="1" applyBorder="1"/>
    <xf numFmtId="0" fontId="0" fillId="0" borderId="0" xfId="0" applyFill="1" applyAlignment="1">
      <alignment horizontal="right"/>
    </xf>
    <xf numFmtId="0" fontId="0" fillId="0" borderId="0" xfId="0" applyFill="1" applyBorder="1" applyAlignment="1">
      <alignment horizontal="right"/>
    </xf>
    <xf numFmtId="0" fontId="0" fillId="11" borderId="1" xfId="0" applyFill="1" applyBorder="1" applyAlignment="1">
      <alignment horizontal="right"/>
    </xf>
    <xf numFmtId="0" fontId="0" fillId="11" borderId="1" xfId="0" applyFill="1" applyBorder="1" applyAlignment="1">
      <alignment horizontal="center"/>
    </xf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0" fontId="0" fillId="12" borderId="8" xfId="0" applyFill="1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7" borderId="5" xfId="0" applyFill="1" applyBorder="1"/>
    <xf numFmtId="0" fontId="0" fillId="0" borderId="12" xfId="0" applyBorder="1"/>
    <xf numFmtId="0" fontId="0" fillId="0" borderId="13" xfId="0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0" borderId="10" xfId="0" applyBorder="1"/>
    <xf numFmtId="0" fontId="0" fillId="13" borderId="1" xfId="0" applyFill="1" applyBorder="1"/>
    <xf numFmtId="0" fontId="0" fillId="11" borderId="3" xfId="0" applyFill="1" applyBorder="1"/>
    <xf numFmtId="0" fontId="0" fillId="11" borderId="4" xfId="0" applyFill="1" applyBorder="1"/>
    <xf numFmtId="0" fontId="0" fillId="11" borderId="5" xfId="0" applyFill="1" applyBorder="1"/>
    <xf numFmtId="0" fontId="0" fillId="11" borderId="6" xfId="0" applyFill="1" applyBorder="1"/>
    <xf numFmtId="0" fontId="0" fillId="11" borderId="1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10" xfId="0" applyFill="1" applyBorder="1"/>
    <xf numFmtId="0" fontId="0" fillId="13" borderId="3" xfId="0" applyFill="1" applyBorder="1"/>
    <xf numFmtId="0" fontId="0" fillId="13" borderId="4" xfId="0" applyFill="1" applyBorder="1"/>
    <xf numFmtId="0" fontId="0" fillId="13" borderId="5" xfId="0" applyFill="1" applyBorder="1"/>
    <xf numFmtId="0" fontId="0" fillId="13" borderId="6" xfId="0" applyFill="1" applyBorder="1"/>
    <xf numFmtId="0" fontId="0" fillId="13" borderId="7" xfId="0" applyFill="1" applyBorder="1"/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0" fontId="0" fillId="13" borderId="0" xfId="0" applyFill="1"/>
    <xf numFmtId="0" fontId="0" fillId="13" borderId="0" xfId="0" applyFill="1" applyAlignment="1">
      <alignment horizontal="center"/>
    </xf>
    <xf numFmtId="0" fontId="5" fillId="13" borderId="0" xfId="1" applyFill="1"/>
    <xf numFmtId="0" fontId="1" fillId="13" borderId="0" xfId="0" applyFont="1" applyFill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13" borderId="0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1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0" borderId="0" xfId="0" applyFill="1" applyBorder="1" applyAlignment="1">
      <alignment wrapText="1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6" borderId="17" xfId="0" applyFont="1" applyFill="1" applyBorder="1"/>
    <xf numFmtId="0" fontId="0" fillId="2" borderId="18" xfId="0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21" xfId="0" applyFill="1" applyBorder="1"/>
    <xf numFmtId="0" fontId="0" fillId="0" borderId="22" xfId="0" applyFill="1" applyBorder="1"/>
    <xf numFmtId="0" fontId="2" fillId="2" borderId="18" xfId="0" applyFont="1" applyFill="1" applyBorder="1"/>
    <xf numFmtId="0" fontId="0" fillId="0" borderId="23" xfId="0" applyBorder="1"/>
    <xf numFmtId="0" fontId="0" fillId="0" borderId="24" xfId="0" applyBorder="1"/>
    <xf numFmtId="0" fontId="0" fillId="0" borderId="25" xfId="0" applyFill="1" applyBorder="1"/>
    <xf numFmtId="0" fontId="7" fillId="14" borderId="4" xfId="0" applyFont="1" applyFill="1" applyBorder="1" applyAlignment="1">
      <alignment horizontal="center"/>
    </xf>
    <xf numFmtId="0" fontId="7" fillId="14" borderId="5" xfId="0" applyFont="1" applyFill="1" applyBorder="1" applyAlignment="1">
      <alignment horizontal="center"/>
    </xf>
    <xf numFmtId="0" fontId="1" fillId="14" borderId="6" xfId="0" applyFont="1" applyFill="1" applyBorder="1" applyAlignment="1">
      <alignment horizontal="center"/>
    </xf>
    <xf numFmtId="0" fontId="1" fillId="14" borderId="8" xfId="0" applyFont="1" applyFill="1" applyBorder="1" applyAlignment="1">
      <alignment horizontal="center"/>
    </xf>
    <xf numFmtId="0" fontId="0" fillId="5" borderId="1" xfId="0" applyFill="1" applyBorder="1"/>
    <xf numFmtId="0" fontId="0" fillId="15" borderId="0" xfId="0" applyFill="1"/>
    <xf numFmtId="0" fontId="3" fillId="15" borderId="0" xfId="0" applyFont="1" applyFill="1"/>
    <xf numFmtId="0" fontId="1" fillId="15" borderId="0" xfId="0" applyFont="1" applyFill="1"/>
    <xf numFmtId="0" fontId="0" fillId="16" borderId="0" xfId="0" applyFill="1"/>
    <xf numFmtId="0" fontId="3" fillId="16" borderId="0" xfId="0" applyFont="1" applyFill="1"/>
    <xf numFmtId="0" fontId="0" fillId="16" borderId="0" xfId="0" applyFill="1" applyBorder="1"/>
    <xf numFmtId="0" fontId="0" fillId="16" borderId="0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457200</xdr:colOff>
      <xdr:row>64</xdr:row>
      <xdr:rowOff>82550</xdr:rowOff>
    </xdr:from>
    <xdr:to>
      <xdr:col>9</xdr:col>
      <xdr:colOff>543457</xdr:colOff>
      <xdr:row>84</xdr:row>
      <xdr:rowOff>32282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12503150"/>
          <a:ext cx="3807357" cy="3810532"/>
        </a:xfrm>
        <a:prstGeom prst="rect">
          <a:avLst/>
        </a:prstGeom>
      </xdr:spPr>
    </xdr:pic>
    <xdr:clientData/>
  </xdr:twoCellAnchor>
  <xdr:twoCellAnchor editAs="oneCell">
    <xdr:from>
      <xdr:col>5</xdr:col>
      <xdr:colOff>98425</xdr:colOff>
      <xdr:row>18</xdr:row>
      <xdr:rowOff>44450</xdr:rowOff>
    </xdr:from>
    <xdr:to>
      <xdr:col>7</xdr:col>
      <xdr:colOff>295387</xdr:colOff>
      <xdr:row>21</xdr:row>
      <xdr:rowOff>139700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70325" y="3575050"/>
          <a:ext cx="2228962" cy="666750"/>
        </a:xfrm>
        <a:prstGeom prst="rect">
          <a:avLst/>
        </a:prstGeom>
      </xdr:spPr>
    </xdr:pic>
    <xdr:clientData/>
  </xdr:twoCellAnchor>
  <xdr:twoCellAnchor editAs="oneCell">
    <xdr:from>
      <xdr:col>17</xdr:col>
      <xdr:colOff>279401</xdr:colOff>
      <xdr:row>11</xdr:row>
      <xdr:rowOff>12700</xdr:rowOff>
    </xdr:from>
    <xdr:to>
      <xdr:col>20</xdr:col>
      <xdr:colOff>528939</xdr:colOff>
      <xdr:row>17</xdr:row>
      <xdr:rowOff>152400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185901" y="2108200"/>
          <a:ext cx="2751438" cy="1371600"/>
        </a:xfrm>
        <a:prstGeom prst="rect">
          <a:avLst/>
        </a:prstGeom>
      </xdr:spPr>
    </xdr:pic>
    <xdr:clientData/>
  </xdr:twoCellAnchor>
  <xdr:twoCellAnchor editAs="oneCell">
    <xdr:from>
      <xdr:col>17</xdr:col>
      <xdr:colOff>279401</xdr:colOff>
      <xdr:row>18</xdr:row>
      <xdr:rowOff>50800</xdr:rowOff>
    </xdr:from>
    <xdr:to>
      <xdr:col>20</xdr:col>
      <xdr:colOff>528939</xdr:colOff>
      <xdr:row>25</xdr:row>
      <xdr:rowOff>88900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85901" y="3530600"/>
          <a:ext cx="2751438" cy="1371600"/>
        </a:xfrm>
        <a:prstGeom prst="rect">
          <a:avLst/>
        </a:prstGeom>
      </xdr:spPr>
    </xdr:pic>
    <xdr:clientData/>
  </xdr:twoCellAnchor>
  <xdr:twoCellAnchor editAs="oneCell">
    <xdr:from>
      <xdr:col>17</xdr:col>
      <xdr:colOff>266701</xdr:colOff>
      <xdr:row>25</xdr:row>
      <xdr:rowOff>139700</xdr:rowOff>
    </xdr:from>
    <xdr:to>
      <xdr:col>20</xdr:col>
      <xdr:colOff>541715</xdr:colOff>
      <xdr:row>32</xdr:row>
      <xdr:rowOff>190500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173201" y="4953000"/>
          <a:ext cx="2776914" cy="13843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67</xdr:row>
      <xdr:rowOff>165100</xdr:rowOff>
    </xdr:from>
    <xdr:to>
      <xdr:col>13</xdr:col>
      <xdr:colOff>790283</xdr:colOff>
      <xdr:row>73</xdr:row>
      <xdr:rowOff>101600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42400" y="13157200"/>
          <a:ext cx="1552283" cy="11049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6</xdr:row>
      <xdr:rowOff>0</xdr:rowOff>
    </xdr:from>
    <xdr:to>
      <xdr:col>5</xdr:col>
      <xdr:colOff>596974</xdr:colOff>
      <xdr:row>6</xdr:row>
      <xdr:rowOff>161948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78200" y="1143000"/>
          <a:ext cx="533474" cy="161948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7</xdr:row>
      <xdr:rowOff>0</xdr:rowOff>
    </xdr:from>
    <xdr:to>
      <xdr:col>5</xdr:col>
      <xdr:colOff>584274</xdr:colOff>
      <xdr:row>7</xdr:row>
      <xdr:rowOff>152421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65500" y="1333500"/>
          <a:ext cx="533474" cy="152421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8</xdr:row>
      <xdr:rowOff>25400</xdr:rowOff>
    </xdr:from>
    <xdr:to>
      <xdr:col>5</xdr:col>
      <xdr:colOff>584274</xdr:colOff>
      <xdr:row>8</xdr:row>
      <xdr:rowOff>158769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365500" y="1549400"/>
          <a:ext cx="533474" cy="133369"/>
        </a:xfrm>
        <a:prstGeom prst="rect">
          <a:avLst/>
        </a:prstGeom>
      </xdr:spPr>
    </xdr:pic>
    <xdr:clientData/>
  </xdr:twoCellAnchor>
  <xdr:twoCellAnchor editAs="oneCell">
    <xdr:from>
      <xdr:col>8</xdr:col>
      <xdr:colOff>139701</xdr:colOff>
      <xdr:row>1</xdr:row>
      <xdr:rowOff>152400</xdr:rowOff>
    </xdr:from>
    <xdr:to>
      <xdr:col>10</xdr:col>
      <xdr:colOff>215901</xdr:colOff>
      <xdr:row>5</xdr:row>
      <xdr:rowOff>143549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21501" y="342900"/>
          <a:ext cx="1676400" cy="7531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9</xdr:row>
          <xdr:rowOff>142875</xdr:rowOff>
        </xdr:from>
        <xdr:to>
          <xdr:col>13</xdr:col>
          <xdr:colOff>485775</xdr:colOff>
          <xdr:row>11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76200</xdr:colOff>
      <xdr:row>0</xdr:row>
      <xdr:rowOff>50801</xdr:rowOff>
    </xdr:from>
    <xdr:to>
      <xdr:col>18</xdr:col>
      <xdr:colOff>76200</xdr:colOff>
      <xdr:row>5</xdr:row>
      <xdr:rowOff>155540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01800" y="50801"/>
          <a:ext cx="1003300" cy="10572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youtube.com/watch?v=S4n-tQZnU6o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148"/>
  <sheetViews>
    <sheetView tabSelected="1" zoomScale="75" zoomScaleNormal="75" workbookViewId="0">
      <selection activeCell="G10" sqref="G10"/>
    </sheetView>
  </sheetViews>
  <sheetFormatPr defaultRowHeight="15" x14ac:dyDescent="0.25"/>
  <cols>
    <col min="1" max="1" width="5.7109375" customWidth="1"/>
    <col min="2" max="2" width="13.7109375" customWidth="1"/>
    <col min="3" max="3" width="14.7109375" bestFit="1" customWidth="1"/>
    <col min="4" max="4" width="13.85546875" bestFit="1" customWidth="1"/>
    <col min="5" max="5" width="10.140625" customWidth="1"/>
    <col min="6" max="6" width="13.85546875" bestFit="1" customWidth="1"/>
    <col min="7" max="7" width="16.5703125" customWidth="1"/>
    <col min="8" max="8" width="13" customWidth="1"/>
    <col min="9" max="9" width="12.28515625" customWidth="1"/>
    <col min="10" max="10" width="11.5703125" customWidth="1"/>
    <col min="11" max="11" width="4.7109375" customWidth="1"/>
    <col min="12" max="12" width="5.5703125" style="28" customWidth="1"/>
    <col min="13" max="14" width="12.7109375" customWidth="1"/>
    <col min="15" max="15" width="22.7109375" customWidth="1"/>
    <col min="16" max="16" width="15.5703125" customWidth="1"/>
    <col min="17" max="17" width="15.140625" customWidth="1"/>
    <col min="18" max="18" width="15" customWidth="1"/>
    <col min="19" max="19" width="11.85546875" customWidth="1"/>
    <col min="20" max="20" width="10.7109375" customWidth="1"/>
    <col min="21" max="21" width="14" customWidth="1"/>
    <col min="22" max="22" width="10.42578125" customWidth="1"/>
    <col min="23" max="23" width="23.140625" customWidth="1"/>
    <col min="24" max="24" width="23.28515625" customWidth="1"/>
    <col min="27" max="27" width="10.42578125" customWidth="1"/>
  </cols>
  <sheetData>
    <row r="1" spans="1:28" x14ac:dyDescent="0.25">
      <c r="A1" s="113"/>
      <c r="B1" s="114" t="s">
        <v>34</v>
      </c>
      <c r="C1" s="115"/>
      <c r="D1" s="113"/>
      <c r="E1" s="113"/>
      <c r="F1" s="113"/>
      <c r="G1" s="113"/>
      <c r="H1" s="113"/>
      <c r="I1" s="113"/>
      <c r="J1" s="113"/>
      <c r="K1" s="113"/>
      <c r="M1" s="116"/>
      <c r="N1" s="117" t="s">
        <v>15</v>
      </c>
      <c r="O1" s="116"/>
      <c r="P1" s="116"/>
      <c r="Q1" s="118"/>
      <c r="R1" s="118"/>
      <c r="S1" s="118"/>
      <c r="T1" s="119"/>
      <c r="U1" s="119"/>
      <c r="V1" s="119"/>
      <c r="W1" s="30"/>
      <c r="X1" s="17"/>
      <c r="Y1" s="17"/>
      <c r="Z1" s="18"/>
      <c r="AA1" s="30"/>
      <c r="AB1" s="30"/>
    </row>
    <row r="2" spans="1:28" x14ac:dyDescent="0.25">
      <c r="A2" t="s">
        <v>86</v>
      </c>
      <c r="B2" s="2" t="s">
        <v>35</v>
      </c>
      <c r="H2" s="2" t="s">
        <v>36</v>
      </c>
      <c r="N2" s="2" t="s">
        <v>37</v>
      </c>
      <c r="P2" s="30"/>
      <c r="S2" s="30"/>
      <c r="U2" s="30"/>
      <c r="X2" s="30"/>
      <c r="Y2" s="2"/>
      <c r="Z2" s="2"/>
      <c r="AA2" s="2"/>
      <c r="AB2" s="2"/>
    </row>
    <row r="3" spans="1:28" x14ac:dyDescent="0.25">
      <c r="B3" t="s">
        <v>11</v>
      </c>
      <c r="C3" t="s">
        <v>12</v>
      </c>
      <c r="E3" s="2"/>
      <c r="F3" s="19"/>
      <c r="N3" t="s">
        <v>11</v>
      </c>
      <c r="O3" s="44" t="s">
        <v>12</v>
      </c>
      <c r="Q3" s="18"/>
      <c r="R3" s="18"/>
      <c r="S3" s="18"/>
      <c r="T3" s="18"/>
      <c r="W3" s="2" t="s">
        <v>79</v>
      </c>
      <c r="X3" s="30" t="s">
        <v>80</v>
      </c>
      <c r="Y3" s="2"/>
      <c r="Z3" s="2"/>
      <c r="AA3" s="2"/>
      <c r="AB3" s="2"/>
    </row>
    <row r="4" spans="1:28" x14ac:dyDescent="0.25">
      <c r="A4" t="s">
        <v>5</v>
      </c>
      <c r="B4" s="45">
        <v>1.0000000001065351E-4</v>
      </c>
      <c r="C4" s="2">
        <f>RADIANS(B4)</f>
        <v>1.7453292521802684E-6</v>
      </c>
      <c r="G4" s="2" t="s">
        <v>43</v>
      </c>
      <c r="H4" s="46">
        <f>J48</f>
        <v>286.82999999956314</v>
      </c>
      <c r="M4" s="2" t="s">
        <v>58</v>
      </c>
      <c r="N4" s="45">
        <v>0</v>
      </c>
      <c r="O4" s="2">
        <f>RADIANS(N4)</f>
        <v>0</v>
      </c>
      <c r="P4" s="2" t="s">
        <v>5</v>
      </c>
      <c r="Q4" s="46">
        <f>Q13</f>
        <v>1.0000000000419718E-4</v>
      </c>
      <c r="U4" s="18"/>
      <c r="V4" s="18"/>
      <c r="W4" s="112">
        <v>167.47856559804379</v>
      </c>
      <c r="X4" s="112">
        <v>167.47856559804376</v>
      </c>
      <c r="Y4" s="2"/>
      <c r="Z4" s="2"/>
      <c r="AA4" s="2"/>
      <c r="AB4" s="2"/>
    </row>
    <row r="5" spans="1:28" x14ac:dyDescent="0.25">
      <c r="A5" t="s">
        <v>6</v>
      </c>
      <c r="B5" s="45">
        <v>-90</v>
      </c>
      <c r="C5" s="2">
        <f t="shared" ref="C5:C8" si="0">RADIANS(B5)</f>
        <v>-1.5707963267948966</v>
      </c>
      <c r="G5" s="2" t="s">
        <v>44</v>
      </c>
      <c r="H5" s="46">
        <f>J49</f>
        <v>5.0061278937029103E-4</v>
      </c>
      <c r="M5" s="2" t="s">
        <v>60</v>
      </c>
      <c r="N5" s="45">
        <v>0</v>
      </c>
      <c r="O5" s="2">
        <f t="shared" ref="O5:O9" si="1">RADIANS(N5)</f>
        <v>0</v>
      </c>
      <c r="P5" s="2" t="s">
        <v>6</v>
      </c>
      <c r="Q5" s="46">
        <f>Q28</f>
        <v>-90</v>
      </c>
      <c r="U5" s="18"/>
      <c r="V5" s="18"/>
      <c r="W5" s="112">
        <v>2.9230523965175458E-4</v>
      </c>
      <c r="X5" s="112">
        <v>2.9230523966036629E-4</v>
      </c>
      <c r="Y5" s="2"/>
      <c r="Z5" s="30"/>
      <c r="AA5" s="2"/>
      <c r="AB5" s="2"/>
    </row>
    <row r="6" spans="1:28" x14ac:dyDescent="0.25">
      <c r="A6" t="s">
        <v>7</v>
      </c>
      <c r="B6" s="45">
        <v>90</v>
      </c>
      <c r="C6" s="2">
        <f>RADIANS((B6)-90)</f>
        <v>0</v>
      </c>
      <c r="G6" s="2" t="s">
        <v>45</v>
      </c>
      <c r="H6" s="46">
        <f>J50</f>
        <v>474.77</v>
      </c>
      <c r="M6" s="2" t="s">
        <v>59</v>
      </c>
      <c r="N6" s="45">
        <v>0</v>
      </c>
      <c r="O6" s="2">
        <f t="shared" si="1"/>
        <v>0</v>
      </c>
      <c r="P6" s="2" t="s">
        <v>7</v>
      </c>
      <c r="Q6" s="46">
        <f>Q32</f>
        <v>90</v>
      </c>
      <c r="U6" s="18"/>
      <c r="V6" s="18"/>
      <c r="W6" s="112">
        <v>-193.44158404979026</v>
      </c>
      <c r="X6" s="112">
        <v>-193.44158404979029</v>
      </c>
      <c r="Y6" s="2"/>
      <c r="Z6" s="30"/>
      <c r="AA6" s="2"/>
      <c r="AB6" s="2"/>
    </row>
    <row r="7" spans="1:28" x14ac:dyDescent="0.25">
      <c r="A7" t="s">
        <v>8</v>
      </c>
      <c r="B7" s="45">
        <v>0</v>
      </c>
      <c r="C7" s="2">
        <f>RADIANS(B7)</f>
        <v>0</v>
      </c>
      <c r="D7" s="34" t="s">
        <v>32</v>
      </c>
      <c r="E7" s="35">
        <f>IF(E28&lt;0,IF(E27&lt;0,1,2),IF(E27&lt;0,4,3))</f>
        <v>3</v>
      </c>
      <c r="G7" s="19" t="s">
        <v>18</v>
      </c>
      <c r="H7" s="46">
        <f>DEGREES(I7)</f>
        <v>-90.000000000000014</v>
      </c>
      <c r="I7" s="2">
        <f>ATAN2((H62/I8),(G62/I8))</f>
        <v>-1.5707963267948968</v>
      </c>
      <c r="M7" s="2" t="s">
        <v>83</v>
      </c>
      <c r="N7" s="45">
        <v>0</v>
      </c>
      <c r="O7" s="2">
        <f t="shared" si="1"/>
        <v>0</v>
      </c>
      <c r="P7" s="2" t="s">
        <v>8</v>
      </c>
      <c r="Q7" s="46">
        <f>IF(Q8&gt;0,R7,S7)</f>
        <v>-3.6992031131087736E-10</v>
      </c>
      <c r="R7" s="90">
        <f>DEGREES(ATAN2(Q89,Q90))</f>
        <v>-3.6992031131087736E-10</v>
      </c>
      <c r="S7" s="90">
        <f>DEGREES(ATAN2(-Q89,-Q90))</f>
        <v>179.99999999963009</v>
      </c>
      <c r="U7" s="18"/>
      <c r="V7" s="18"/>
      <c r="W7" s="112">
        <v>90</v>
      </c>
      <c r="X7" s="112">
        <v>90</v>
      </c>
      <c r="Y7" s="2"/>
      <c r="Z7" s="30"/>
      <c r="AA7" s="2"/>
      <c r="AB7" s="2"/>
    </row>
    <row r="8" spans="1:28" x14ac:dyDescent="0.25">
      <c r="A8" t="s">
        <v>9</v>
      </c>
      <c r="B8" s="45">
        <v>1E-3</v>
      </c>
      <c r="C8" s="2">
        <f t="shared" si="0"/>
        <v>1.7453292519943296E-5</v>
      </c>
      <c r="D8" s="34" t="s">
        <v>31</v>
      </c>
      <c r="E8" s="35">
        <f>IF(H5&lt;0,IF(H4&lt;0,1,2),IF(H4&lt;0,4,3))</f>
        <v>3</v>
      </c>
      <c r="G8" s="19" t="s">
        <v>81</v>
      </c>
      <c r="H8" s="46">
        <f>DEGREES(I8)</f>
        <v>90.000999999999991</v>
      </c>
      <c r="I8" s="2">
        <f>ATAN2(-I62,SQRT((I60^2)+(I61^2)))</f>
        <v>1.5708137800874165</v>
      </c>
      <c r="M8" s="2" t="s">
        <v>84</v>
      </c>
      <c r="N8" s="45">
        <v>0</v>
      </c>
      <c r="O8" s="2">
        <f t="shared" si="1"/>
        <v>0</v>
      </c>
      <c r="P8" s="2" t="s">
        <v>9</v>
      </c>
      <c r="Q8" s="46">
        <f>IF(AND(B8&gt;0,R8&gt;0),R8,S8)</f>
        <v>1.0000004016026158E-3</v>
      </c>
      <c r="R8" s="90">
        <f>DEGREES(ATAN2(Q91,+SQRT(1-Q91^2)))</f>
        <v>1.0000004016026158E-3</v>
      </c>
      <c r="S8" s="90">
        <f>DEGREES(ATAN2(Q91,-SQRT(1-Q91^2)))</f>
        <v>-1.0000004016026158E-3</v>
      </c>
      <c r="U8" s="18"/>
      <c r="V8" s="18"/>
      <c r="W8" s="112">
        <v>141.9999</v>
      </c>
      <c r="X8" s="112">
        <v>141.99990000272982</v>
      </c>
      <c r="Y8" s="2"/>
      <c r="Z8" s="30"/>
      <c r="AA8" s="2"/>
      <c r="AB8" s="2"/>
    </row>
    <row r="9" spans="1:28" x14ac:dyDescent="0.25">
      <c r="A9" t="s">
        <v>10</v>
      </c>
      <c r="B9" s="45">
        <v>0</v>
      </c>
      <c r="C9" s="2">
        <f>RADIANS((B9)+180)</f>
        <v>3.1415926535897931</v>
      </c>
      <c r="D9" s="8"/>
      <c r="E9" s="17"/>
      <c r="G9" s="19" t="s">
        <v>82</v>
      </c>
      <c r="H9" s="46">
        <f>DEGREES(I9)</f>
        <v>-90.000100000000003</v>
      </c>
      <c r="I9" s="2">
        <f>ATAN2((I61/I8),(I60/I8))</f>
        <v>-1.5707980721241486</v>
      </c>
      <c r="M9" s="2" t="s">
        <v>85</v>
      </c>
      <c r="N9" s="45">
        <v>0</v>
      </c>
      <c r="O9" s="2">
        <f t="shared" si="1"/>
        <v>0</v>
      </c>
      <c r="P9" s="2" t="s">
        <v>10</v>
      </c>
      <c r="Q9" s="46">
        <f>IF(Q8&lt;0,S9,R9)</f>
        <v>3.6990854823670816E-10</v>
      </c>
      <c r="R9" s="90">
        <f>IF(P91&lt;0,DEGREES(ATAN2(-O91,P91))+180,DEGREES(ATAN2(-O91,P91))-180)</f>
        <v>3.6990854823670816E-10</v>
      </c>
      <c r="S9" s="90">
        <f>IF(P91&lt;0,DEGREES(ATAN2(O91,-P91))-180,DEGREES(ATAN2(O91,-P91))+180)</f>
        <v>-179.99999999963009</v>
      </c>
      <c r="U9" s="18"/>
      <c r="V9" s="18"/>
      <c r="W9" s="112">
        <v>89.999899999999997</v>
      </c>
      <c r="X9" s="112">
        <v>89.999899999999997</v>
      </c>
      <c r="Y9" s="2"/>
      <c r="Z9" s="30"/>
      <c r="AA9" s="2"/>
      <c r="AB9" s="2"/>
    </row>
    <row r="10" spans="1:28" s="3" customFormat="1" ht="14.25" customHeight="1" x14ac:dyDescent="0.25">
      <c r="C10" s="4"/>
      <c r="D10" s="4"/>
      <c r="E10" s="4"/>
      <c r="F10" s="4"/>
      <c r="L10" s="29"/>
      <c r="R10" s="89"/>
      <c r="S10" s="16"/>
      <c r="U10" s="4"/>
      <c r="V10" s="4"/>
      <c r="W10" s="4"/>
      <c r="X10" s="4"/>
      <c r="Y10" s="4"/>
      <c r="Z10" s="30"/>
      <c r="AA10" s="4"/>
      <c r="AB10" s="4"/>
    </row>
    <row r="11" spans="1:28" ht="15.75" thickBot="1" x14ac:dyDescent="0.3">
      <c r="B11" s="6" t="s">
        <v>49</v>
      </c>
      <c r="C11" s="2"/>
      <c r="D11" s="6"/>
      <c r="E11" s="6"/>
      <c r="F11" s="6"/>
      <c r="R11" s="37"/>
      <c r="S11" s="37"/>
      <c r="T11" s="30"/>
      <c r="U11" s="2"/>
      <c r="V11" s="2"/>
      <c r="W11" s="2"/>
      <c r="X11" s="2"/>
      <c r="Y11" s="2"/>
      <c r="Z11" s="2"/>
      <c r="AA11" s="2"/>
      <c r="AB11" s="2"/>
    </row>
    <row r="12" spans="1:28" ht="19.5" thickTop="1" x14ac:dyDescent="0.3">
      <c r="B12" s="9" t="s">
        <v>0</v>
      </c>
      <c r="C12" s="108" t="s">
        <v>77</v>
      </c>
      <c r="D12" s="108" t="s">
        <v>78</v>
      </c>
      <c r="E12" s="108" t="s">
        <v>3</v>
      </c>
      <c r="F12" s="109" t="s">
        <v>4</v>
      </c>
      <c r="H12" s="30" t="s">
        <v>41</v>
      </c>
      <c r="J12" s="30" t="s">
        <v>42</v>
      </c>
      <c r="M12" s="30"/>
      <c r="N12" s="30"/>
      <c r="O12" s="91"/>
      <c r="P12" s="92" t="s">
        <v>12</v>
      </c>
      <c r="Q12" s="93" t="s">
        <v>11</v>
      </c>
      <c r="R12" s="37"/>
      <c r="S12" s="37"/>
      <c r="T12" s="30"/>
      <c r="U12" s="36"/>
      <c r="V12" s="36"/>
      <c r="W12" s="36"/>
    </row>
    <row r="13" spans="1:28" x14ac:dyDescent="0.25">
      <c r="B13" s="110">
        <v>1</v>
      </c>
      <c r="C13" s="1">
        <f>C4</f>
        <v>1.7453292521802684E-6</v>
      </c>
      <c r="D13" s="1">
        <f>RADIANS(-90)</f>
        <v>-1.5707963267948966</v>
      </c>
      <c r="E13" s="1">
        <v>169.77</v>
      </c>
      <c r="F13" s="13">
        <v>64.2</v>
      </c>
      <c r="G13" s="8" t="s">
        <v>43</v>
      </c>
      <c r="H13" s="31">
        <v>0</v>
      </c>
      <c r="I13" s="8" t="s">
        <v>43</v>
      </c>
      <c r="J13" s="31">
        <v>0</v>
      </c>
      <c r="M13" s="2"/>
      <c r="N13" s="2"/>
      <c r="O13" s="94" t="s">
        <v>13</v>
      </c>
      <c r="P13" s="23">
        <f>ATAN((H5+N5)/(H4+N4))</f>
        <v>1.7453292520675842E-6</v>
      </c>
      <c r="Q13" s="95">
        <f>IF(E7=1,((DEGREES(P13)-90)-90),IF(E7=2,DEGREES(P13),IF(E7=3,DEGREES(P13),(90+DEGREES(P13)+90))))</f>
        <v>1.0000000000419718E-4</v>
      </c>
      <c r="R13" s="37"/>
      <c r="S13" s="37"/>
      <c r="T13" s="37"/>
      <c r="U13" s="37"/>
      <c r="V13" s="37"/>
      <c r="W13" s="37"/>
    </row>
    <row r="14" spans="1:28" x14ac:dyDescent="0.25">
      <c r="B14" s="110">
        <v>2</v>
      </c>
      <c r="C14" s="1">
        <f t="shared" ref="C14:C18" si="2">C5</f>
        <v>-1.5707963267948966</v>
      </c>
      <c r="D14" s="1">
        <f>RADIANS(0)</f>
        <v>0</v>
      </c>
      <c r="E14" s="1">
        <v>0</v>
      </c>
      <c r="F14" s="13">
        <v>305</v>
      </c>
      <c r="G14" s="8" t="s">
        <v>44</v>
      </c>
      <c r="H14" s="31">
        <v>0</v>
      </c>
      <c r="I14" s="8" t="s">
        <v>44</v>
      </c>
      <c r="J14" s="31">
        <v>0</v>
      </c>
      <c r="M14" s="2"/>
      <c r="N14" s="2"/>
      <c r="O14" s="96" t="s">
        <v>23</v>
      </c>
      <c r="P14" s="20">
        <f>SQRT(((H5+N5)^2)+((H4+N4)^2))+F13</f>
        <v>351.03</v>
      </c>
      <c r="Q14" s="97"/>
      <c r="R14" s="17"/>
      <c r="S14" s="37"/>
      <c r="T14" s="37"/>
      <c r="U14" s="37"/>
      <c r="V14" s="37"/>
      <c r="W14" s="37"/>
    </row>
    <row r="15" spans="1:28" x14ac:dyDescent="0.25">
      <c r="B15" s="110">
        <v>3</v>
      </c>
      <c r="C15" s="1">
        <f t="shared" si="2"/>
        <v>0</v>
      </c>
      <c r="D15" s="25">
        <f>RADIANS(90)</f>
        <v>1.5707963267948966</v>
      </c>
      <c r="E15" s="1">
        <v>0</v>
      </c>
      <c r="F15" s="13">
        <v>0</v>
      </c>
      <c r="G15" s="8" t="s">
        <v>45</v>
      </c>
      <c r="H15" s="31">
        <v>0</v>
      </c>
      <c r="I15" s="8" t="s">
        <v>45</v>
      </c>
      <c r="J15" s="31">
        <v>0</v>
      </c>
      <c r="M15" s="2"/>
      <c r="N15" s="2"/>
      <c r="O15" s="98" t="s">
        <v>33</v>
      </c>
      <c r="P15" s="21">
        <f>SQRT(((H5+N5)^2)+((H4+N4)^2))</f>
        <v>286.83</v>
      </c>
      <c r="Q15" s="99"/>
      <c r="R15" s="17"/>
      <c r="S15" s="37"/>
      <c r="T15" s="37"/>
      <c r="U15" s="37"/>
      <c r="V15" s="37"/>
      <c r="W15" s="37"/>
    </row>
    <row r="16" spans="1:28" ht="17.25" customHeight="1" x14ac:dyDescent="0.25">
      <c r="B16" s="110">
        <v>4</v>
      </c>
      <c r="C16" s="1">
        <f t="shared" si="2"/>
        <v>0</v>
      </c>
      <c r="D16" s="25">
        <f>RADIANS(-90)</f>
        <v>-1.5707963267948966</v>
      </c>
      <c r="E16" s="1">
        <v>-222.63</v>
      </c>
      <c r="F16" s="13">
        <v>0</v>
      </c>
      <c r="G16" s="32" t="s">
        <v>40</v>
      </c>
      <c r="H16" s="31">
        <v>0</v>
      </c>
      <c r="I16" s="32" t="s">
        <v>40</v>
      </c>
      <c r="J16" s="31">
        <v>0</v>
      </c>
      <c r="M16" s="2"/>
      <c r="N16" s="2"/>
      <c r="O16" s="100" t="s">
        <v>24</v>
      </c>
      <c r="P16" s="22">
        <f>ABS(P15-F13)</f>
        <v>222.63</v>
      </c>
      <c r="Q16" s="101">
        <f>(P15-F13)</f>
        <v>222.63</v>
      </c>
      <c r="R16" s="18"/>
      <c r="S16" s="37"/>
      <c r="T16" s="37"/>
      <c r="U16" s="30"/>
      <c r="V16" s="37"/>
      <c r="W16" s="37"/>
    </row>
    <row r="17" spans="2:27" x14ac:dyDescent="0.25">
      <c r="B17" s="110">
        <v>5</v>
      </c>
      <c r="C17" s="1">
        <f t="shared" si="2"/>
        <v>1.7453292519943296E-5</v>
      </c>
      <c r="D17" s="25">
        <f>RADIANS(90)</f>
        <v>1.5707963267948966</v>
      </c>
      <c r="E17" s="1">
        <v>0</v>
      </c>
      <c r="F17" s="13">
        <v>0</v>
      </c>
      <c r="G17" s="32" t="s">
        <v>39</v>
      </c>
      <c r="H17" s="31">
        <v>0</v>
      </c>
      <c r="I17" s="32" t="s">
        <v>39</v>
      </c>
      <c r="J17" s="31">
        <v>0</v>
      </c>
      <c r="M17" s="2"/>
      <c r="N17" s="2"/>
      <c r="O17" s="98" t="s">
        <v>14</v>
      </c>
      <c r="P17" s="21">
        <f>(H6+N6)-E13</f>
        <v>305</v>
      </c>
      <c r="Q17" s="99"/>
      <c r="R17" s="18"/>
      <c r="S17" s="37"/>
      <c r="T17" s="37"/>
      <c r="U17" s="30"/>
      <c r="V17" s="37"/>
      <c r="W17" s="37"/>
    </row>
    <row r="18" spans="2:27" ht="15.75" thickBot="1" x14ac:dyDescent="0.3">
      <c r="B18" s="111">
        <v>6</v>
      </c>
      <c r="C18" s="14">
        <f t="shared" si="2"/>
        <v>3.1415926535897931</v>
      </c>
      <c r="D18" s="14">
        <f>RADIANS(0)</f>
        <v>0</v>
      </c>
      <c r="E18" s="14">
        <v>-36.25</v>
      </c>
      <c r="F18" s="15">
        <v>0</v>
      </c>
      <c r="G18" s="32" t="s">
        <v>38</v>
      </c>
      <c r="H18" s="31">
        <v>0</v>
      </c>
      <c r="I18" s="32" t="s">
        <v>38</v>
      </c>
      <c r="J18" s="31">
        <v>0</v>
      </c>
      <c r="M18" s="2"/>
      <c r="N18" s="2"/>
      <c r="O18" s="98"/>
      <c r="P18" s="16"/>
      <c r="Q18" s="99"/>
      <c r="R18" s="17"/>
      <c r="S18" s="37"/>
      <c r="T18" s="37"/>
      <c r="U18" s="30"/>
      <c r="V18" s="37"/>
      <c r="W18" s="37"/>
    </row>
    <row r="19" spans="2:27" x14ac:dyDescent="0.25">
      <c r="M19" s="2"/>
      <c r="N19" s="2"/>
      <c r="O19" s="98" t="s">
        <v>19</v>
      </c>
      <c r="P19" s="16">
        <f>IF(E7=E8,SQRT((P16^2)+(P17^2)),SQRT((P14^2)+(P17^2)))</f>
        <v>377.60974153218029</v>
      </c>
      <c r="Q19" s="99"/>
      <c r="S19" s="37"/>
      <c r="T19" s="37"/>
      <c r="U19" s="37"/>
      <c r="V19" s="37"/>
      <c r="W19" s="37"/>
    </row>
    <row r="20" spans="2:27" x14ac:dyDescent="0.25">
      <c r="B20" t="s">
        <v>41</v>
      </c>
      <c r="G20" s="30"/>
      <c r="H20" s="30"/>
      <c r="I20" s="18"/>
      <c r="M20" s="2"/>
      <c r="O20" s="98"/>
      <c r="P20" s="16"/>
      <c r="Q20" s="99"/>
      <c r="T20" s="16"/>
    </row>
    <row r="21" spans="2:27" x14ac:dyDescent="0.25">
      <c r="B21" s="5">
        <f>COS(RADIANS(H18))*COS(RADIANS(H17))</f>
        <v>1</v>
      </c>
      <c r="C21" s="5">
        <f>-SIN(RADIANS(H18))*COS(RADIANS(H16))+COS(RADIANS(H18))*SIN(RADIANS(H17))*SIN(RADIANS(H16))</f>
        <v>0</v>
      </c>
      <c r="D21" s="5">
        <f>SIN(RADIANS(H18))*SIN(RADIANS(H16))+COS(RADIANS(H18))*SIN(RADIANS(H17))*COS(RADIANS(H16))</f>
        <v>0</v>
      </c>
      <c r="E21" s="5">
        <f>H13</f>
        <v>0</v>
      </c>
      <c r="G21" s="30"/>
      <c r="H21" s="30"/>
      <c r="I21" s="18"/>
      <c r="O21" s="98"/>
      <c r="P21" s="16" t="s">
        <v>12</v>
      </c>
      <c r="Q21" s="99" t="s">
        <v>16</v>
      </c>
      <c r="T21" s="16"/>
      <c r="Z21" s="18"/>
      <c r="AA21" s="30"/>
    </row>
    <row r="22" spans="2:27" x14ac:dyDescent="0.25">
      <c r="B22" s="5">
        <f>SIN(RADIANS(H18))*COS(RADIANS(H17))</f>
        <v>0</v>
      </c>
      <c r="C22" s="5">
        <f>COS(RADIANS(H18))*COS(RADIANS(H16))+SIN(RADIANS(H18))*SIN(RADIANS(H17))*SIN(RADIANS(H16))</f>
        <v>1</v>
      </c>
      <c r="D22" s="5">
        <f>-COS(RADIANS(H18))*SIN(RADIANS(H16))+SIN(RADIANS(H18))*SIN(RADIANS(H17))*COS(RADIANS(H16))</f>
        <v>0</v>
      </c>
      <c r="E22" s="5">
        <f>H14</f>
        <v>0</v>
      </c>
      <c r="G22" s="30"/>
      <c r="H22" s="30"/>
      <c r="I22" s="18"/>
      <c r="O22" s="98" t="s">
        <v>20</v>
      </c>
      <c r="P22" s="16">
        <f>ATAN(P17/P16)</f>
        <v>0.94026134850763488</v>
      </c>
      <c r="Q22" s="99">
        <f>DEGREES(P22)</f>
        <v>53.873006908766904</v>
      </c>
      <c r="T22" s="16"/>
      <c r="Z22" s="18"/>
      <c r="AA22" s="30"/>
    </row>
    <row r="23" spans="2:27" x14ac:dyDescent="0.25">
      <c r="B23" s="5">
        <f>-SIN(RADIANS(H18))</f>
        <v>0</v>
      </c>
      <c r="C23" s="5">
        <f>COS(RADIANS(H17))*SIN(RADIANS(H16))</f>
        <v>0</v>
      </c>
      <c r="D23" s="5">
        <f>COS(RADIANS(H17))*COS(RADIANS(H16))</f>
        <v>1</v>
      </c>
      <c r="E23" s="5">
        <f>H15</f>
        <v>0</v>
      </c>
      <c r="G23" t="s">
        <v>50</v>
      </c>
      <c r="O23" s="98" t="s">
        <v>29</v>
      </c>
      <c r="P23" s="16">
        <f>ATAN(P16/P17)</f>
        <v>0.63053497828726179</v>
      </c>
      <c r="Q23" s="99">
        <f>DEGREES(P23)</f>
        <v>36.126993091233103</v>
      </c>
      <c r="T23" s="16"/>
      <c r="Z23" s="18"/>
      <c r="AA23" s="18"/>
    </row>
    <row r="24" spans="2:27" x14ac:dyDescent="0.25">
      <c r="B24" s="5">
        <v>0</v>
      </c>
      <c r="C24" s="5">
        <v>0</v>
      </c>
      <c r="D24" s="5">
        <v>0</v>
      </c>
      <c r="E24" s="5">
        <v>1</v>
      </c>
      <c r="G24" s="5">
        <f>(B21*B27)+(C21*B28)+(D21*B29)+(E21*B30)</f>
        <v>0.99999999999847689</v>
      </c>
      <c r="H24" s="5">
        <f>(B21*C27)+(C21*C28)+(D21*C29)+(E21*C30)</f>
        <v>-1.0691437183071937E-22</v>
      </c>
      <c r="I24" s="5">
        <f>(B21*D27)+(C21*D28)+(D21*D29)+(E21*D30)</f>
        <v>-1.7453292521793824E-6</v>
      </c>
      <c r="J24" s="7">
        <f>(B21*E27)+(C21*E28)+(D21*E29)+(E21*E30)</f>
        <v>64.199999999902218</v>
      </c>
      <c r="O24" s="98" t="s">
        <v>21</v>
      </c>
      <c r="P24" s="16">
        <f>SQRT((F15^2)+((ABS(E16)^2)))</f>
        <v>222.63</v>
      </c>
      <c r="Q24" s="99"/>
      <c r="T24" s="16"/>
    </row>
    <row r="25" spans="2:27" x14ac:dyDescent="0.25">
      <c r="G25" s="5">
        <f>(B22*B27)+(C22*B28)+(D22*B29)+(E22*B30)</f>
        <v>1.7453292521793824E-6</v>
      </c>
      <c r="H25" s="5">
        <f>(B22*C27)+(C22*C28)+(D22*C29)+(E22*C30)</f>
        <v>6.1257422745337693E-17</v>
      </c>
      <c r="I25" s="5">
        <f>(B22*D27)+(C22*D28)+(D22*D29)+(E22*D30)</f>
        <v>0.99999999999847689</v>
      </c>
      <c r="J25" s="7">
        <f>(B22*E27)+(C22*E28)+(D22*E29)+(E22*E30)</f>
        <v>1.1205013798991635E-4</v>
      </c>
      <c r="O25" s="98" t="s">
        <v>30</v>
      </c>
      <c r="P25" s="16">
        <f>ATAN(P17/P14)</f>
        <v>0.71534849144755541</v>
      </c>
      <c r="Q25" s="99">
        <f>DEGREES(P25)</f>
        <v>40.986449440995187</v>
      </c>
      <c r="T25" s="16"/>
    </row>
    <row r="26" spans="2:27" x14ac:dyDescent="0.25">
      <c r="B26" t="s">
        <v>5</v>
      </c>
      <c r="G26" s="5">
        <f>(B23*B27)+(C23*B28)+(D23*B29)+(E23*B30)</f>
        <v>0</v>
      </c>
      <c r="H26" s="5">
        <f>(B23*C27)+(C23*C28)+(D23*C29)+(E23*C30)</f>
        <v>-1</v>
      </c>
      <c r="I26" s="5">
        <f>(B23*D27)+(C23*D28)+(D23*D29)+(E23*D30)</f>
        <v>6.1257422745431001E-17</v>
      </c>
      <c r="J26" s="7">
        <f>(B23*E27)+(C23*E28)+(D23*E29)+(E23*E30)</f>
        <v>169.77</v>
      </c>
      <c r="O26" s="102" t="s">
        <v>26</v>
      </c>
      <c r="P26" s="18">
        <f>ACOS(((F14^2)+(P19^2)-(P24^2))/(2*F14*P19))</f>
        <v>0.63053497828726168</v>
      </c>
      <c r="Q26" s="103">
        <f>DEGREES(P26)</f>
        <v>36.126993091233096</v>
      </c>
      <c r="T26" s="16"/>
    </row>
    <row r="27" spans="2:27" x14ac:dyDescent="0.25">
      <c r="B27" s="5">
        <f>COS(C13)</f>
        <v>0.99999999999847689</v>
      </c>
      <c r="C27" s="5">
        <f>-SIN(C13)*COS(D13)</f>
        <v>-1.0691437183071937E-22</v>
      </c>
      <c r="D27" s="5">
        <f>SIN(C13)*SIN(D13)</f>
        <v>-1.7453292521793824E-6</v>
      </c>
      <c r="E27" s="5">
        <f>F13*COS(C13)</f>
        <v>64.199999999902218</v>
      </c>
      <c r="G27" s="5">
        <f>(B24*B27)+(C24*B28)+(D24*B29)+(E24*B30)</f>
        <v>0</v>
      </c>
      <c r="H27" s="5">
        <f>(B24*C27)+(C24*C28)+(D24*C29)+(E24*C30)</f>
        <v>0</v>
      </c>
      <c r="I27" s="5">
        <f>(B24*D27)+(C24*D28)+(D24*D29)+(E24*D30)</f>
        <v>0</v>
      </c>
      <c r="J27" s="7">
        <f>(B24*E27)+(C24*E28)+(D24*E29)+(E24*E30)</f>
        <v>1</v>
      </c>
      <c r="O27" s="98" t="s">
        <v>25</v>
      </c>
      <c r="P27" s="16">
        <f>ATAN2((((F14^2)+(P19^2)-(P24^2))/(2*F14*P19)),SQRT(1-((((F14^2)+(P19^2)-(P24^2))/(2*F14*P19)))^2))</f>
        <v>0.63053497828726168</v>
      </c>
      <c r="Q27" s="99">
        <f>DEGREES(P27)</f>
        <v>36.126993091233096</v>
      </c>
      <c r="T27" s="16"/>
    </row>
    <row r="28" spans="2:27" x14ac:dyDescent="0.25">
      <c r="B28" s="5">
        <f>SIN(C13)</f>
        <v>1.7453292521793824E-6</v>
      </c>
      <c r="C28" s="5">
        <f>COS(C13)*COS(D13)</f>
        <v>6.1257422745337693E-17</v>
      </c>
      <c r="D28" s="5">
        <f>-COS(C13)*SIN(D13)</f>
        <v>0.99999999999847689</v>
      </c>
      <c r="E28" s="5">
        <f>F13*SIN(C13)</f>
        <v>1.1205013798991635E-4</v>
      </c>
      <c r="O28" s="94" t="s">
        <v>17</v>
      </c>
      <c r="P28" s="23"/>
      <c r="Q28" s="95">
        <f>IF(   AND(Q16&gt;0,E7=E8),      -(Q22+Q26),IF(AND(Q16&gt;0,E7&lt;&gt;E8),-(180-Q25+Q26),IF(AND(Q16&lt;0,E7&lt;&gt;E8),-(180-Q25+Q26),-(Q26+Q23+90))))</f>
        <v>-90</v>
      </c>
      <c r="T28" s="16"/>
    </row>
    <row r="29" spans="2:27" x14ac:dyDescent="0.25">
      <c r="B29" s="5">
        <v>0</v>
      </c>
      <c r="C29" s="5">
        <f>SIN(D13)</f>
        <v>-1</v>
      </c>
      <c r="D29" s="5">
        <f>COS(D13)</f>
        <v>6.1257422745431001E-17</v>
      </c>
      <c r="E29" s="5">
        <f>E13</f>
        <v>169.77</v>
      </c>
      <c r="G29" t="s">
        <v>51</v>
      </c>
      <c r="O29" s="98"/>
      <c r="P29" s="16"/>
      <c r="Q29" s="99"/>
      <c r="T29" s="16"/>
    </row>
    <row r="30" spans="2:27" x14ac:dyDescent="0.25">
      <c r="B30" s="5">
        <v>0</v>
      </c>
      <c r="C30" s="5">
        <v>0</v>
      </c>
      <c r="D30" s="5">
        <v>0</v>
      </c>
      <c r="E30" s="5">
        <v>1</v>
      </c>
      <c r="G30" s="5">
        <f>(G24*B33)+(H24*B34)+(I24*B35)+(J24*B36)</f>
        <v>6.1257529659709524E-17</v>
      </c>
      <c r="H30" s="5">
        <f>(G24*C33)+(H24*C34)+(I24*C35)+(J24*C36)</f>
        <v>0.99999999999847689</v>
      </c>
      <c r="I30" s="5">
        <f>(G24*D33)+(H24*D34)+(I24*D35)+(J24*D36)</f>
        <v>-1.7453292521793824E-6</v>
      </c>
      <c r="J30" s="5">
        <f>(G24*E33)+(H24*E34)+(I24*E35)+(J24*E36)</f>
        <v>64.199999999902232</v>
      </c>
      <c r="O30" s="98" t="s">
        <v>22</v>
      </c>
      <c r="P30" s="16">
        <f>ACOS(((P24^2)+(ABS(E16)^2)-(F15^2))/(2*P24*ABS(E16)))</f>
        <v>0</v>
      </c>
      <c r="Q30" s="99">
        <f>DEGREES(P30)</f>
        <v>0</v>
      </c>
      <c r="T30" s="16"/>
      <c r="U30" s="16"/>
      <c r="V30" s="16"/>
      <c r="W30" s="16"/>
    </row>
    <row r="31" spans="2:27" x14ac:dyDescent="0.25">
      <c r="G31" s="5">
        <f>(G25*B33)+(H25*B34)+(I25*B35)+(J25*B36)</f>
        <v>-6.1257315830965862E-17</v>
      </c>
      <c r="H31" s="5">
        <f>(G25*C33)+(H25*C34)+(I25*C35)+(J25*C36)</f>
        <v>1.7453292521793824E-6</v>
      </c>
      <c r="I31" s="5">
        <f>(G25*D33)+(H25*D34)+(I25*D35)+(J25*D36)</f>
        <v>0.99999999999847689</v>
      </c>
      <c r="J31" s="5">
        <f>(G25*E33)+(H25*E34)+(I25*E35)+(J25*E36)</f>
        <v>1.1205013797123287E-4</v>
      </c>
      <c r="O31" s="98"/>
      <c r="P31" s="16"/>
      <c r="Q31" s="99"/>
      <c r="T31" s="16"/>
      <c r="U31" s="16"/>
      <c r="V31" s="16"/>
      <c r="W31" s="16"/>
    </row>
    <row r="32" spans="2:27" x14ac:dyDescent="0.25">
      <c r="B32" t="s">
        <v>6</v>
      </c>
      <c r="G32" s="5">
        <f>(G26*B33)+(H26*B34)+(I26*B35)+(J26*B36)</f>
        <v>1</v>
      </c>
      <c r="H32" s="5">
        <f>(G26*C33)+(H26*C34)+(I26*C35)+(J26*C36)</f>
        <v>-6.1257422745431001E-17</v>
      </c>
      <c r="I32" s="5">
        <f>(G26*D33)+(H26*D34)+(I26*D35)+(J26*D36)</f>
        <v>6.1257422745431001E-17</v>
      </c>
      <c r="J32" s="5">
        <f>(G26*E33)+(H26*E34)+(I26*E35)+(J26*E36)</f>
        <v>474.77</v>
      </c>
      <c r="O32" s="94" t="s">
        <v>27</v>
      </c>
      <c r="P32" s="24">
        <f>ACOS(((P24^2)+(F14^2)-(P19^2))/(2*P24*F14))</f>
        <v>1.5707963267948966</v>
      </c>
      <c r="Q32" s="104">
        <f>180-DEGREES(P32)+Q30</f>
        <v>90</v>
      </c>
      <c r="T32" s="16"/>
      <c r="U32" s="16"/>
      <c r="V32" s="16"/>
      <c r="W32" s="16"/>
    </row>
    <row r="33" spans="2:31" ht="15.75" thickBot="1" x14ac:dyDescent="0.3">
      <c r="B33" s="5">
        <f>COS(C14)</f>
        <v>6.1257422745431001E-17</v>
      </c>
      <c r="C33" s="5">
        <f>-SIN(C14)*COS(D14)</f>
        <v>1</v>
      </c>
      <c r="D33" s="5">
        <f>SIN(C14)*SIN(D14)</f>
        <v>0</v>
      </c>
      <c r="E33" s="5">
        <f>F14*COS(C14)</f>
        <v>1.8683513937356455E-14</v>
      </c>
      <c r="G33" s="5">
        <f>(G27*B33)+(H27*B34)+(I27*B35)+(J27*B36)</f>
        <v>0</v>
      </c>
      <c r="H33" s="5">
        <f>(G27*C33)+(H27*C34)+(I27*C35)+(J27*C36)</f>
        <v>0</v>
      </c>
      <c r="I33" s="5">
        <f>(G27*D33)+(H27*D34)+(I27*D35)+(J27*D36)</f>
        <v>0</v>
      </c>
      <c r="J33" s="5">
        <f>(G27*E33)+(H27*E34)+(I27*E35)+(J27*E36)</f>
        <v>1</v>
      </c>
      <c r="O33" s="105" t="s">
        <v>28</v>
      </c>
      <c r="P33" s="106">
        <f>ATAN2((((P24^2)+(F14^2)-(P19^2))/(2*P24*F14)),SQRT(1-((((P24^2)+(F14^2)-(P19^2))/(2*P24*F14)))^2))</f>
        <v>1.5707963267948966</v>
      </c>
      <c r="Q33" s="107">
        <f>180-DEGREES(P33)+Q30</f>
        <v>90</v>
      </c>
      <c r="T33" s="16"/>
      <c r="U33" s="16"/>
      <c r="V33" s="16"/>
      <c r="W33" s="16"/>
    </row>
    <row r="34" spans="2:31" ht="15.75" thickTop="1" x14ac:dyDescent="0.25">
      <c r="B34" s="5">
        <f>SIN(C14)</f>
        <v>-1</v>
      </c>
      <c r="C34" s="5">
        <f>COS(C14)*COS(D14)</f>
        <v>6.1257422745431001E-17</v>
      </c>
      <c r="D34" s="5">
        <f>-COS(C14)*SIN(D14)</f>
        <v>0</v>
      </c>
      <c r="E34" s="5">
        <f>F14*SIN(C14)</f>
        <v>-305</v>
      </c>
      <c r="T34" s="16"/>
      <c r="U34" s="16"/>
      <c r="V34" s="16"/>
      <c r="W34" s="16"/>
    </row>
    <row r="35" spans="2:31" ht="15.75" thickBot="1" x14ac:dyDescent="0.3">
      <c r="B35" s="5">
        <v>0</v>
      </c>
      <c r="C35" s="5">
        <f>SIN(D14)</f>
        <v>0</v>
      </c>
      <c r="D35" s="5">
        <f>COS(D14)</f>
        <v>1</v>
      </c>
      <c r="E35" s="5">
        <f>E14</f>
        <v>0</v>
      </c>
      <c r="G35" t="s">
        <v>52</v>
      </c>
      <c r="O35" s="6" t="s">
        <v>49</v>
      </c>
      <c r="P35" s="2"/>
      <c r="Q35" s="6"/>
      <c r="R35" s="6"/>
      <c r="S35" s="6"/>
    </row>
    <row r="36" spans="2:31" x14ac:dyDescent="0.25">
      <c r="B36" s="5">
        <v>0</v>
      </c>
      <c r="C36" s="5">
        <v>0</v>
      </c>
      <c r="D36" s="5">
        <v>0</v>
      </c>
      <c r="E36" s="5">
        <v>1</v>
      </c>
      <c r="G36" s="5">
        <f>(G30*B39)+(H30*B40)+(I30*B41)+(J30*B42)</f>
        <v>6.1257529659709524E-17</v>
      </c>
      <c r="H36" s="5">
        <f>(G30*C39)+(H30*C40)+(I30*C41)+(J30*C42)</f>
        <v>-1.745329252118125E-6</v>
      </c>
      <c r="I36" s="5">
        <f>(G30*D39)+(H30*D40)+(I30*D41)+(J30*D42)</f>
        <v>-0.99999999999847689</v>
      </c>
      <c r="J36" s="5">
        <f>(G30*E39)+(H30*E40)+(I30*E41)+(J30*E42)</f>
        <v>64.199999999902232</v>
      </c>
      <c r="O36" s="9" t="s">
        <v>0</v>
      </c>
      <c r="P36" s="10" t="s">
        <v>1</v>
      </c>
      <c r="Q36" s="10" t="s">
        <v>2</v>
      </c>
      <c r="R36" s="10" t="s">
        <v>3</v>
      </c>
      <c r="S36" s="11" t="s">
        <v>4</v>
      </c>
      <c r="U36" s="30" t="s">
        <v>41</v>
      </c>
      <c r="V36" s="18"/>
      <c r="W36" s="30"/>
    </row>
    <row r="37" spans="2:31" x14ac:dyDescent="0.25">
      <c r="G37" s="5">
        <f>(G31*B39)+(H31*B40)+(I31*B41)+(J31*B42)</f>
        <v>-6.1257315830965862E-17</v>
      </c>
      <c r="H37" s="5">
        <f>(G31*C39)+(H31*C40)+(I31*C41)+(J31*C42)</f>
        <v>0.99999999999847689</v>
      </c>
      <c r="I37" s="5">
        <f>(G31*D39)+(H31*D40)+(I31*D41)+(J31*D42)</f>
        <v>-1.745329252118125E-6</v>
      </c>
      <c r="J37" s="5">
        <f>(G31*E39)+(H31*E40)+(I31*E41)+(J31*E42)</f>
        <v>1.1205013797123287E-4</v>
      </c>
      <c r="O37" s="12">
        <v>1</v>
      </c>
      <c r="P37" s="1">
        <f>RADIANS(Q4)</f>
        <v>1.7453292520675842E-6</v>
      </c>
      <c r="Q37" s="1">
        <f>RADIANS(-90)</f>
        <v>-1.5707963267948966</v>
      </c>
      <c r="R37" s="1">
        <v>169.77</v>
      </c>
      <c r="S37" s="13">
        <v>64.2</v>
      </c>
      <c r="T37" s="8" t="s">
        <v>43</v>
      </c>
      <c r="U37" s="31">
        <v>0</v>
      </c>
      <c r="V37" s="33"/>
      <c r="W37" s="18"/>
    </row>
    <row r="38" spans="2:31" x14ac:dyDescent="0.25">
      <c r="B38" t="s">
        <v>7</v>
      </c>
      <c r="G38" s="5">
        <f>(G32*B39)+(H32*B40)+(I32*B41)+(J32*B42)</f>
        <v>1</v>
      </c>
      <c r="H38" s="5">
        <f>(G32*C39)+(H32*C40)+(I32*C41)+(J32*C42)</f>
        <v>6.1257422745431001E-17</v>
      </c>
      <c r="I38" s="5">
        <f>(G32*D39)+(H32*D40)+(I32*D41)+(J32*D42)</f>
        <v>6.1257422745431001E-17</v>
      </c>
      <c r="J38" s="5">
        <f>(G32*E39)+(H32*E40)+(I32*E41)+(J32*E42)</f>
        <v>474.77</v>
      </c>
      <c r="O38" s="12">
        <v>2</v>
      </c>
      <c r="P38" s="1">
        <f t="shared" ref="P38:P42" si="3">RADIANS(Q5)</f>
        <v>-1.5707963267948966</v>
      </c>
      <c r="Q38" s="1">
        <f>RADIANS(0)</f>
        <v>0</v>
      </c>
      <c r="R38" s="1">
        <v>0</v>
      </c>
      <c r="S38" s="13">
        <v>305</v>
      </c>
      <c r="T38" s="8" t="s">
        <v>44</v>
      </c>
      <c r="U38" s="31">
        <v>0</v>
      </c>
      <c r="V38" s="33"/>
      <c r="W38" s="18"/>
    </row>
    <row r="39" spans="2:31" x14ac:dyDescent="0.25">
      <c r="B39" s="5">
        <f>COS(C15)</f>
        <v>1</v>
      </c>
      <c r="C39" s="5">
        <f>-SIN(C15)*COS(D15)</f>
        <v>0</v>
      </c>
      <c r="D39" s="5">
        <f>SIN(C15)*SIN(D15)</f>
        <v>0</v>
      </c>
      <c r="E39" s="5">
        <f>F15*COS(C15)</f>
        <v>0</v>
      </c>
      <c r="G39" s="5">
        <f>(G33*B39)+(H33*B40)+(I33*B41)+(J33*B42)</f>
        <v>0</v>
      </c>
      <c r="H39" s="5">
        <f>(G33*C39)+(H33*C40)+(I33*C41)+(J33*C42)</f>
        <v>0</v>
      </c>
      <c r="I39" s="5">
        <f>(G33*D39)+(H33*D40)+(I33*D41)+(J33*D42)</f>
        <v>0</v>
      </c>
      <c r="J39" s="5">
        <f>(G33*E39)+(H33*E40)+(I33*E41)+(J33*E42)</f>
        <v>1</v>
      </c>
      <c r="O39" s="12">
        <v>3</v>
      </c>
      <c r="P39" s="1">
        <f>RADIANS(Q6-90)</f>
        <v>0</v>
      </c>
      <c r="Q39" s="25">
        <f>RADIANS(90)</f>
        <v>1.5707963267948966</v>
      </c>
      <c r="R39" s="1">
        <v>0</v>
      </c>
      <c r="S39" s="13">
        <v>0</v>
      </c>
      <c r="T39" s="8" t="s">
        <v>45</v>
      </c>
      <c r="U39" s="31">
        <v>0</v>
      </c>
      <c r="V39" s="33"/>
      <c r="W39" s="18"/>
    </row>
    <row r="40" spans="2:31" x14ac:dyDescent="0.25">
      <c r="B40" s="5">
        <f>SIN(C15)</f>
        <v>0</v>
      </c>
      <c r="C40" s="5">
        <f>COS(C15)*COS(D15)</f>
        <v>6.1257422745431001E-17</v>
      </c>
      <c r="D40" s="5">
        <f>-COS(C15)*SIN(D15)</f>
        <v>-1</v>
      </c>
      <c r="E40" s="5">
        <f>F15*SIN(C15)</f>
        <v>0</v>
      </c>
      <c r="O40" s="38">
        <v>4</v>
      </c>
      <c r="P40" s="39">
        <f t="shared" si="3"/>
        <v>-6.4563274023772314E-12</v>
      </c>
      <c r="Q40" s="39">
        <f>RADIANS(-90)</f>
        <v>-1.5707963267948966</v>
      </c>
      <c r="R40" s="39">
        <v>-222.63</v>
      </c>
      <c r="S40" s="40">
        <v>0</v>
      </c>
      <c r="T40" s="32" t="s">
        <v>40</v>
      </c>
      <c r="U40" s="31">
        <v>0</v>
      </c>
      <c r="V40" s="33"/>
      <c r="W40" s="18"/>
    </row>
    <row r="41" spans="2:31" x14ac:dyDescent="0.25">
      <c r="B41" s="5">
        <v>0</v>
      </c>
      <c r="C41" s="5">
        <f>SIN(D15)</f>
        <v>1</v>
      </c>
      <c r="D41" s="5">
        <f>COS(D15)</f>
        <v>6.1257422745431001E-17</v>
      </c>
      <c r="E41" s="5">
        <f>E15</f>
        <v>0</v>
      </c>
      <c r="G41" t="s">
        <v>53</v>
      </c>
      <c r="O41" s="38">
        <v>5</v>
      </c>
      <c r="P41" s="39">
        <f t="shared" si="3"/>
        <v>1.7453299529231225E-5</v>
      </c>
      <c r="Q41" s="39">
        <f>RADIANS(90)</f>
        <v>1.5707963267948966</v>
      </c>
      <c r="R41" s="39">
        <v>0</v>
      </c>
      <c r="S41" s="40">
        <v>0</v>
      </c>
      <c r="T41" s="32" t="s">
        <v>39</v>
      </c>
      <c r="U41" s="31">
        <v>0</v>
      </c>
      <c r="V41" s="33"/>
      <c r="W41" s="18"/>
    </row>
    <row r="42" spans="2:31" ht="15.75" thickBot="1" x14ac:dyDescent="0.3">
      <c r="B42" s="5">
        <v>0</v>
      </c>
      <c r="C42" s="5">
        <v>0</v>
      </c>
      <c r="D42" s="5">
        <v>0</v>
      </c>
      <c r="E42" s="5">
        <v>1</v>
      </c>
      <c r="G42" s="5">
        <f>(G36*B45)+(H36*B46)+(I36*B47)+(J36*B48)</f>
        <v>6.1257529659709524E-17</v>
      </c>
      <c r="H42" s="5">
        <f>(G36*C45)+(H36*C46)+(I36*C47)+(J36*C48)</f>
        <v>0.99999999999847689</v>
      </c>
      <c r="I42" s="5">
        <f>(G36*D45)+(H36*D46)+(I36*D47)+(J36*D48)</f>
        <v>-1.7453292521793824E-6</v>
      </c>
      <c r="J42" s="5">
        <f>(G36*E45)+(H36*E46)+(I36*E47)+(J36*E48)</f>
        <v>286.82999999956314</v>
      </c>
      <c r="O42" s="41">
        <v>6</v>
      </c>
      <c r="P42" s="39">
        <f t="shared" si="3"/>
        <v>6.4561220980028218E-12</v>
      </c>
      <c r="Q42" s="42">
        <f>RADIANS(0)</f>
        <v>0</v>
      </c>
      <c r="R42" s="42">
        <v>-36.25</v>
      </c>
      <c r="S42" s="43">
        <v>0</v>
      </c>
      <c r="T42" s="32" t="s">
        <v>38</v>
      </c>
      <c r="U42" s="31">
        <v>0</v>
      </c>
      <c r="V42" s="33"/>
      <c r="W42" s="18"/>
    </row>
    <row r="43" spans="2:31" x14ac:dyDescent="0.25">
      <c r="G43" s="5">
        <f>(G37*B45)+(H37*B46)+(I37*B47)+(J37*B48)</f>
        <v>-6.1257315830965862E-17</v>
      </c>
      <c r="H43" s="5">
        <f>(G37*C45)+(H37*C46)+(I37*C47)+(J37*C48)</f>
        <v>1.7453292521793824E-6</v>
      </c>
      <c r="I43" s="5">
        <f>(G37*D45)+(H37*D46)+(I37*D47)+(J37*D48)</f>
        <v>0.99999999999847689</v>
      </c>
      <c r="J43" s="5">
        <f>(G37*E45)+(H37*E46)+(I37*E47)+(J37*E48)</f>
        <v>5.0061278937029103E-4</v>
      </c>
    </row>
    <row r="44" spans="2:31" x14ac:dyDescent="0.25">
      <c r="B44" t="s">
        <v>8</v>
      </c>
      <c r="G44" s="5">
        <f>(G38*B45)+(H38*B46)+(I38*B47)+(J38*B48)</f>
        <v>1</v>
      </c>
      <c r="H44" s="5">
        <f>(G38*C45)+(H38*C46)+(I38*C47)+(J38*C48)</f>
        <v>-6.1257422745431001E-17</v>
      </c>
      <c r="I44" s="5">
        <f>(G38*D45)+(H38*D46)+(I38*D47)+(J38*D48)</f>
        <v>6.1257422745431001E-17</v>
      </c>
      <c r="J44" s="5">
        <f>(G38*E45)+(H38*E46)+(I38*E47)+(J38*E48)</f>
        <v>474.77</v>
      </c>
      <c r="O44" t="s">
        <v>41</v>
      </c>
    </row>
    <row r="45" spans="2:31" x14ac:dyDescent="0.25">
      <c r="B45" s="5">
        <f>COS(C16)</f>
        <v>1</v>
      </c>
      <c r="C45" s="5">
        <f>-SIN(C16)*COS(D16)</f>
        <v>0</v>
      </c>
      <c r="D45" s="5">
        <f>SIN(C16)*SIN(D16)</f>
        <v>0</v>
      </c>
      <c r="E45" s="5">
        <f>F16*COS(C16)</f>
        <v>0</v>
      </c>
      <c r="G45" s="5">
        <f>(G39*B45)+(H39*B46)+(I39*B47)+(J39*B48)</f>
        <v>0</v>
      </c>
      <c r="H45" s="5">
        <f>(G39*C45)+(H39*C46)+(I39*C47)+(J39*C48)</f>
        <v>0</v>
      </c>
      <c r="I45" s="5">
        <f>(G39*D45)+(H39*D46)+(I39*D47)+(J39*D48)</f>
        <v>0</v>
      </c>
      <c r="J45" s="5">
        <f>(G39*E45)+(H39*E46)+(I39*E47)+(J39*E48)</f>
        <v>1</v>
      </c>
      <c r="O45" s="5">
        <f>COS(RADIANS(U42))*COS(RADIANS(U41))</f>
        <v>1</v>
      </c>
      <c r="P45" s="5">
        <f>-SIN(RADIANS(U42))*COS(RADIANS(U40))+COS(RADIANS(U42))*SIN(RADIANS(U41))*SIN(RADIANS(U40))</f>
        <v>0</v>
      </c>
      <c r="Q45" s="5">
        <f>SIN(RADIANS(U42))*SIN(RADIANS(U40))+COS(RADIANS(U42))*SIN(RADIANS(U41))*COS(RADIANS(U40))</f>
        <v>0</v>
      </c>
      <c r="R45" s="5">
        <f>U37</f>
        <v>0</v>
      </c>
      <c r="Y45" s="75" t="s">
        <v>73</v>
      </c>
      <c r="Z45" s="72"/>
      <c r="AA45" s="72"/>
      <c r="AB45" s="72"/>
      <c r="AC45" s="72"/>
      <c r="AD45" s="72"/>
      <c r="AE45" s="72"/>
    </row>
    <row r="46" spans="2:31" x14ac:dyDescent="0.25">
      <c r="B46" s="5">
        <f>SIN(C16)</f>
        <v>0</v>
      </c>
      <c r="C46" s="5">
        <f>COS(C16)*COS(D16)</f>
        <v>6.1257422745431001E-17</v>
      </c>
      <c r="D46" s="5">
        <f>-COS(C16)*SIN(D16)</f>
        <v>1</v>
      </c>
      <c r="E46" s="5">
        <f>F16*SIN(C16)</f>
        <v>0</v>
      </c>
      <c r="O46" s="5">
        <f>SIN(RADIANS(U42))*COS(RADIANS(U41))</f>
        <v>0</v>
      </c>
      <c r="P46" s="5">
        <f>COS(RADIANS(U42))*COS(RADIANS(U40))+SIN(RADIANS(U42))*SIN(RADIANS(U41))*SIN(RADIANS(U40))</f>
        <v>1</v>
      </c>
      <c r="Q46" s="5">
        <f>-COS(RADIANS(U42))*SIN(RADIANS(U40))+SIN(RADIANS(U42))*SIN(RADIANS(U41))*COS(RADIANS(U40))</f>
        <v>0</v>
      </c>
      <c r="R46" s="5">
        <f>U38</f>
        <v>0</v>
      </c>
      <c r="Y46" s="74" t="s">
        <v>72</v>
      </c>
      <c r="Z46" s="72"/>
      <c r="AA46" s="72"/>
      <c r="AB46" s="72"/>
      <c r="AC46" s="72"/>
      <c r="AD46" s="72"/>
      <c r="AE46" s="72"/>
    </row>
    <row r="47" spans="2:31" ht="15.75" thickBot="1" x14ac:dyDescent="0.3">
      <c r="B47" s="5">
        <v>0</v>
      </c>
      <c r="C47" s="5">
        <f>SIN(D16)</f>
        <v>-1</v>
      </c>
      <c r="D47" s="5">
        <f>COS(D16)</f>
        <v>6.1257422745431001E-17</v>
      </c>
      <c r="E47" s="5">
        <f>E16</f>
        <v>-222.63</v>
      </c>
      <c r="G47" t="s">
        <v>54</v>
      </c>
      <c r="O47" s="5">
        <f>-SIN(RADIANS(U42))</f>
        <v>0</v>
      </c>
      <c r="P47" s="5">
        <f>COS(RADIANS(U41))*SIN(RADIANS(U40))</f>
        <v>0</v>
      </c>
      <c r="Q47" s="5">
        <f>COS(RADIANS(U41))*COS(RADIANS(U40))</f>
        <v>1</v>
      </c>
      <c r="R47" s="5">
        <f>U39</f>
        <v>0</v>
      </c>
      <c r="T47" t="s">
        <v>46</v>
      </c>
      <c r="Y47" s="72" t="s">
        <v>66</v>
      </c>
      <c r="Z47" s="72"/>
      <c r="AA47" s="72"/>
      <c r="AB47" s="72"/>
      <c r="AC47" s="72"/>
      <c r="AD47" s="72"/>
      <c r="AE47" s="72"/>
    </row>
    <row r="48" spans="2:31" x14ac:dyDescent="0.25">
      <c r="B48" s="5">
        <v>0</v>
      </c>
      <c r="C48" s="5">
        <v>0</v>
      </c>
      <c r="D48" s="5">
        <v>0</v>
      </c>
      <c r="E48" s="5">
        <v>1</v>
      </c>
      <c r="G48" s="5">
        <f>(G42*B51)+(H42*B52)+(I42*B53)+(J42*B54)</f>
        <v>1.7453292519091876E-5</v>
      </c>
      <c r="H48" s="5">
        <f>(G42*C51)+(H42*C52)+(I42*C53)+(J42*C54)</f>
        <v>-1.745329252118125E-6</v>
      </c>
      <c r="I48" s="5">
        <f>(G42*D51)+(H42*D52)+(I42*D53)+(J42*D54)</f>
        <v>-0.99999999984616816</v>
      </c>
      <c r="J48" s="26">
        <f>(G42*E51)+(H42*E52)+(I42*E53)+(J42*E54)</f>
        <v>286.82999999956314</v>
      </c>
      <c r="O48" s="5">
        <v>0</v>
      </c>
      <c r="P48" s="5">
        <v>0</v>
      </c>
      <c r="Q48" s="5">
        <v>0</v>
      </c>
      <c r="R48" s="5">
        <v>1</v>
      </c>
      <c r="T48" s="5">
        <f>(O45*O51)+(P45*O52)+(Q45*O53)+(R45*O54)</f>
        <v>0.99999999999847689</v>
      </c>
      <c r="U48" s="5">
        <f>(O45*P51)+(P45*P52)+(Q45*P53)+(R45*P54)</f>
        <v>-1.0691437182381663E-22</v>
      </c>
      <c r="V48" s="5">
        <f>(O45*Q51)+(P45*Q52)+(Q45*Q53)+(R45*Q54)</f>
        <v>-1.7453292520666982E-6</v>
      </c>
      <c r="W48" s="7">
        <f>(O45*R51)+(P45*R52)+(Q45*R53)+(R45*R54)</f>
        <v>64.199999999902218</v>
      </c>
      <c r="Y48" s="50">
        <f>Sheet1!U61</f>
        <v>0.99999999999847689</v>
      </c>
      <c r="Z48" s="51">
        <f>Sheet1!V61</f>
        <v>-1.7453292520054408E-6</v>
      </c>
      <c r="AA48" s="50">
        <f>Sheet1!T61</f>
        <v>-6.1257315830965874E-17</v>
      </c>
      <c r="AB48" s="51">
        <f>Sheet1!V61</f>
        <v>-1.7453292520054408E-6</v>
      </c>
      <c r="AC48" s="50">
        <f>Sheet1!T61</f>
        <v>-6.1257315830965874E-17</v>
      </c>
      <c r="AD48" s="51">
        <f>Sheet1!U61</f>
        <v>0.99999999999847689</v>
      </c>
      <c r="AE48" s="72"/>
    </row>
    <row r="49" spans="2:31" ht="15.75" thickBot="1" x14ac:dyDescent="0.3">
      <c r="G49" s="5">
        <f>(G43*B51)+(H43*B52)+(I43*B53)+(J43*B54)</f>
        <v>3.0461680723038293E-11</v>
      </c>
      <c r="H49" s="5">
        <f>(G43*C51)+(H43*C52)+(I43*C53)+(J43*C54)</f>
        <v>0.99999999999847689</v>
      </c>
      <c r="I49" s="5">
        <f>(G43*D51)+(H43*D52)+(I43*D53)+(J43*D54)</f>
        <v>-1.7453292518522972E-6</v>
      </c>
      <c r="J49" s="26">
        <f>(G43*E51)+(H43*E52)+(I43*E53)+(J43*E54)</f>
        <v>5.0061278937029103E-4</v>
      </c>
      <c r="T49" s="5">
        <f>(O46*O51)+(P46*O52)+(Q46*O53)+(R46*O54)</f>
        <v>1.7453292520666982E-6</v>
      </c>
      <c r="U49" s="5">
        <f>(O46*P51)+(P46*P52)+(Q46*P53)+(R46*P54)</f>
        <v>6.1257422745337693E-17</v>
      </c>
      <c r="V49" s="5">
        <f>(O46*Q51)+(P46*Q52)+(Q46*Q53)+(R46*Q54)</f>
        <v>0.99999999999847689</v>
      </c>
      <c r="W49" s="7">
        <f>(O46*R51)+(P46*R52)+(Q46*R53)+(R46*R54)</f>
        <v>1.1205013798268203E-4</v>
      </c>
      <c r="Y49" s="52">
        <f>Sheet1!U62</f>
        <v>6.1257422745431001E-17</v>
      </c>
      <c r="Z49" s="53">
        <f>Sheet1!V62</f>
        <v>6.1257422745431001E-17</v>
      </c>
      <c r="AA49" s="52">
        <f>Sheet1!T62</f>
        <v>1</v>
      </c>
      <c r="AB49" s="53">
        <f>Sheet1!V62</f>
        <v>6.1257422745431001E-17</v>
      </c>
      <c r="AC49" s="52">
        <f>Sheet1!T62</f>
        <v>1</v>
      </c>
      <c r="AD49" s="53">
        <f>Sheet1!U62</f>
        <v>6.1257422745431001E-17</v>
      </c>
      <c r="AE49" s="72"/>
    </row>
    <row r="50" spans="2:31" x14ac:dyDescent="0.25">
      <c r="B50" t="s">
        <v>9</v>
      </c>
      <c r="G50" s="5">
        <f>(G44*B51)+(H44*B52)+(I44*B53)+(J44*B54)</f>
        <v>0.99999999984769128</v>
      </c>
      <c r="H50" s="5">
        <f>(G44*C51)+(H44*C52)+(I44*C53)+(J44*C54)</f>
        <v>6.125635360171286E-17</v>
      </c>
      <c r="I50" s="5">
        <f>(G44*D51)+(H44*D52)+(I44*D53)+(J44*D54)</f>
        <v>1.7453292519118459E-5</v>
      </c>
      <c r="J50" s="26">
        <f>(G44*E51)+(H44*E52)+(I44*E53)+(J44*E54)</f>
        <v>474.77</v>
      </c>
      <c r="O50" t="s">
        <v>5</v>
      </c>
      <c r="T50" s="5">
        <f>(O47*O51)+(P47*O52)+(Q47*O53)+(R47*O54)</f>
        <v>0</v>
      </c>
      <c r="U50" s="5">
        <f>(O47*P51)+(P47*P52)+(Q47*P53)+(R47*P54)</f>
        <v>-1</v>
      </c>
      <c r="V50" s="5">
        <f>(O47*Q51)+(P47*Q52)+(Q47*Q53)+(R47*Q54)</f>
        <v>6.1257422745431001E-17</v>
      </c>
      <c r="W50" s="7">
        <f>(O47*R51)+(P47*R52)+(Q47*R53)+(R47*R54)</f>
        <v>169.77</v>
      </c>
      <c r="Y50" s="50">
        <f>Sheet1!U60</f>
        <v>-1.7453292520054408E-6</v>
      </c>
      <c r="Z50" s="51">
        <f>Sheet1!V60</f>
        <v>-0.99999999999847689</v>
      </c>
      <c r="AA50" s="50">
        <f>Sheet1!$T$60</f>
        <v>6.1257529659709512E-17</v>
      </c>
      <c r="AB50" s="51">
        <f>Sheet1!$V$60</f>
        <v>-0.99999999999847689</v>
      </c>
      <c r="AC50" s="50">
        <f>Sheet1!T60</f>
        <v>6.1257529659709512E-17</v>
      </c>
      <c r="AD50" s="51">
        <f>Sheet1!U60</f>
        <v>-1.7453292520054408E-6</v>
      </c>
      <c r="AE50" s="72"/>
    </row>
    <row r="51" spans="2:31" ht="15.75" thickBot="1" x14ac:dyDescent="0.3">
      <c r="B51" s="5">
        <f>COS(C17)</f>
        <v>0.99999999984769128</v>
      </c>
      <c r="C51" s="5">
        <f>-SIN(C17)*COS(D17)</f>
        <v>-1.0691437181395554E-21</v>
      </c>
      <c r="D51" s="5">
        <f>SIN(C17)*SIN(D17)</f>
        <v>1.7453292519057202E-5</v>
      </c>
      <c r="E51" s="5">
        <f>F17*COS(C17)</f>
        <v>0</v>
      </c>
      <c r="G51" s="5">
        <f>(G45*B51)+(H45*B52)+(I45*B53)+(J45*B54)</f>
        <v>0</v>
      </c>
      <c r="H51" s="5">
        <f>(G45*C51)+(H45*C52)+(I45*C53)+(J45*C54)</f>
        <v>0</v>
      </c>
      <c r="I51" s="5">
        <f>(G45*D51)+(H45*D52)+(I45*D53)+(J45*D54)</f>
        <v>0</v>
      </c>
      <c r="J51" s="5">
        <f>(G45*E51)+(H45*E52)+(I45*E53)+(J45*E54)</f>
        <v>1</v>
      </c>
      <c r="O51" s="5">
        <f>COS(P37)</f>
        <v>0.99999999999847689</v>
      </c>
      <c r="P51" s="5">
        <f>-SIN(P37)*COS(Q37)</f>
        <v>-1.0691437182381663E-22</v>
      </c>
      <c r="Q51" s="5">
        <f>SIN(P37)*SIN(Q37)</f>
        <v>-1.7453292520666982E-6</v>
      </c>
      <c r="R51" s="5">
        <f>S37*COS(P37)</f>
        <v>64.199999999902218</v>
      </c>
      <c r="T51" s="5">
        <f>(O48*O51)+(P48*O52)+(Q48*O53)+(R48*O54)</f>
        <v>0</v>
      </c>
      <c r="U51" s="5">
        <f>(O48*P51)+(P48*P52)+(Q48*P53)+(R48*P54)</f>
        <v>0</v>
      </c>
      <c r="V51" s="5">
        <f>(O48*Q51)+(P48*Q52)+(Q48*Q53)+(R48*Q54)</f>
        <v>0</v>
      </c>
      <c r="W51" s="7">
        <f>(O48*R51)+(P48*R52)+(Q48*R53)+(R48*R54)</f>
        <v>1</v>
      </c>
      <c r="Y51" s="52">
        <f>Sheet1!U62</f>
        <v>6.1257422745431001E-17</v>
      </c>
      <c r="Z51" s="53">
        <f>Sheet1!V62</f>
        <v>6.1257422745431001E-17</v>
      </c>
      <c r="AA51" s="52">
        <f>Sheet1!$T$62</f>
        <v>1</v>
      </c>
      <c r="AB51" s="53">
        <f>Sheet1!$V$62</f>
        <v>6.1257422745431001E-17</v>
      </c>
      <c r="AC51" s="52">
        <f>Sheet1!T62</f>
        <v>1</v>
      </c>
      <c r="AD51" s="53">
        <f>Sheet1!U62</f>
        <v>6.1257422745431001E-17</v>
      </c>
      <c r="AE51" s="72"/>
    </row>
    <row r="52" spans="2:31" x14ac:dyDescent="0.25">
      <c r="B52" s="5">
        <f>SIN(C17)</f>
        <v>1.7453292519057202E-5</v>
      </c>
      <c r="C52" s="5">
        <f>COS(C17)*COS(D17)</f>
        <v>6.1257422736100958E-17</v>
      </c>
      <c r="D52" s="5">
        <f>-COS(C17)*SIN(D17)</f>
        <v>-0.99999999984769128</v>
      </c>
      <c r="E52" s="5">
        <f>F17*SIN(C17)</f>
        <v>0</v>
      </c>
      <c r="O52" s="5">
        <f>SIN(P37)</f>
        <v>1.7453292520666982E-6</v>
      </c>
      <c r="P52" s="5">
        <f>COS(P37)*COS(Q37)</f>
        <v>6.1257422745337693E-17</v>
      </c>
      <c r="Q52" s="5">
        <f>-COS(P37)*SIN(Q37)</f>
        <v>0.99999999999847689</v>
      </c>
      <c r="R52" s="5">
        <f>S37*SIN(P37)</f>
        <v>1.1205013798268203E-4</v>
      </c>
      <c r="Y52" s="50">
        <f>Sheet1!U60</f>
        <v>-1.7453292520054408E-6</v>
      </c>
      <c r="Z52" s="51">
        <f>Sheet1!V60</f>
        <v>-0.99999999999847689</v>
      </c>
      <c r="AA52" s="50">
        <f>Sheet1!T60</f>
        <v>6.1257529659709512E-17</v>
      </c>
      <c r="AB52" s="51">
        <f>Sheet1!V60</f>
        <v>-0.99999999999847689</v>
      </c>
      <c r="AC52" s="50">
        <f>Sheet1!T60</f>
        <v>6.1257529659709512E-17</v>
      </c>
      <c r="AD52" s="51">
        <f>Sheet1!U60</f>
        <v>-1.7453292520054408E-6</v>
      </c>
      <c r="AE52" s="72"/>
    </row>
    <row r="53" spans="2:31" ht="15.75" thickBot="1" x14ac:dyDescent="0.3">
      <c r="B53" s="5">
        <v>0</v>
      </c>
      <c r="C53" s="5">
        <f>SIN(D17)</f>
        <v>1</v>
      </c>
      <c r="D53" s="5">
        <f>COS(D17)</f>
        <v>6.1257422745431001E-17</v>
      </c>
      <c r="E53" s="5">
        <f>E17</f>
        <v>0</v>
      </c>
      <c r="G53" t="s">
        <v>55</v>
      </c>
      <c r="O53" s="5">
        <v>0</v>
      </c>
      <c r="P53" s="5">
        <f>SIN(Q37)</f>
        <v>-1</v>
      </c>
      <c r="Q53" s="5">
        <f>COS(Q37)</f>
        <v>6.1257422745431001E-17</v>
      </c>
      <c r="R53" s="5">
        <f>R37</f>
        <v>169.77</v>
      </c>
      <c r="T53" t="s">
        <v>47</v>
      </c>
      <c r="Y53" s="52">
        <f>Sheet1!U61</f>
        <v>0.99999999999847689</v>
      </c>
      <c r="Z53" s="53">
        <f>Sheet1!V61</f>
        <v>-1.7453292520054408E-6</v>
      </c>
      <c r="AA53" s="52">
        <f>Sheet1!T61</f>
        <v>-6.1257315830965874E-17</v>
      </c>
      <c r="AB53" s="53">
        <f>Sheet1!V61</f>
        <v>-1.7453292520054408E-6</v>
      </c>
      <c r="AC53" s="52">
        <f>Sheet1!T61</f>
        <v>-6.1257315830965874E-17</v>
      </c>
      <c r="AD53" s="53">
        <f>Sheet1!U61</f>
        <v>0.99999999999847689</v>
      </c>
      <c r="AE53" s="72"/>
    </row>
    <row r="54" spans="2:31" x14ac:dyDescent="0.25">
      <c r="B54" s="5">
        <v>0</v>
      </c>
      <c r="C54" s="5">
        <v>0</v>
      </c>
      <c r="D54" s="5">
        <v>0</v>
      </c>
      <c r="E54" s="5">
        <v>1</v>
      </c>
      <c r="G54" s="5">
        <f>(G48*B57)+(H48*B58)+(I48*B59)+(J48*B60)</f>
        <v>-1.7453292519091876E-5</v>
      </c>
      <c r="H54" s="5">
        <f>(G48*C57)+(H48*C58)+(I48*C59)+(J48*C60)</f>
        <v>1.7453292521181228E-6</v>
      </c>
      <c r="I54" s="5">
        <f>(G48*D57)+(H48*D58)+(I48*D59)+(J48*D60)</f>
        <v>-0.99999999984616816</v>
      </c>
      <c r="J54" s="26">
        <f>(G48*E57)+(H48*E58)+(I48*E59)+(J48*E60)</f>
        <v>323.07999999398675</v>
      </c>
      <c r="O54" s="5">
        <v>0</v>
      </c>
      <c r="P54" s="5">
        <v>0</v>
      </c>
      <c r="Q54" s="5">
        <v>0</v>
      </c>
      <c r="R54" s="5">
        <v>1</v>
      </c>
      <c r="T54" s="5">
        <f>(T48*O57)+(U48*O58)+(V48*O59)+(W48*O60)</f>
        <v>6.1257529659709512E-17</v>
      </c>
      <c r="U54" s="5">
        <f>(T48*P57)+(U48*P58)+(V48*P59)+(W48*P60)</f>
        <v>0.99999999999847689</v>
      </c>
      <c r="V54" s="5">
        <f>(T48*Q57)+(U48*Q58)+(V48*Q59)+(W48*Q60)</f>
        <v>-1.7453292520666982E-6</v>
      </c>
      <c r="W54" s="5">
        <f>(T48*R57)+(U48*R58)+(V48*R59)+(W48*R60)</f>
        <v>64.199999999902232</v>
      </c>
      <c r="Y54" s="72"/>
      <c r="Z54" s="72"/>
      <c r="AA54" s="72"/>
      <c r="AB54" s="72"/>
      <c r="AC54" s="72"/>
      <c r="AD54" s="72"/>
      <c r="AE54" s="72"/>
    </row>
    <row r="55" spans="2:31" x14ac:dyDescent="0.25">
      <c r="G55" s="5">
        <f>(G49*B57)+(H49*B58)+(I49*B59)+(J49*B60)</f>
        <v>-3.0461558208192803E-11</v>
      </c>
      <c r="H55" s="5">
        <f>(G49*C57)+(H49*C58)+(I49*C59)+(J49*C60)</f>
        <v>-0.99999999999847689</v>
      </c>
      <c r="I55" s="5">
        <f>(G49*D57)+(H49*D58)+(I49*D59)+(J49*D60)</f>
        <v>-1.7453292518522972E-6</v>
      </c>
      <c r="J55" s="26">
        <f>(G49*E57)+(H49*E58)+(I49*E59)+(J49*E60)</f>
        <v>5.638809747499368E-4</v>
      </c>
      <c r="T55" s="5">
        <f>(T49*O57)+(U49*O58)+(V49*O59)+(W49*O60)</f>
        <v>-6.1257315830965874E-17</v>
      </c>
      <c r="U55" s="5">
        <f>(T49*P57)+(U49*P58)+(V49*P59)+(W49*P60)</f>
        <v>1.7453292520666982E-6</v>
      </c>
      <c r="V55" s="5">
        <f>(T49*Q57)+(U49*Q58)+(V49*Q59)+(W49*Q60)</f>
        <v>0.99999999999847689</v>
      </c>
      <c r="W55" s="5">
        <f>(T49*R57)+(U49*R58)+(V49*R59)+(W49*R60)</f>
        <v>1.1205013796399854E-4</v>
      </c>
      <c r="Y55" s="72" t="s">
        <v>68</v>
      </c>
      <c r="Z55" s="72"/>
      <c r="AA55" s="72"/>
      <c r="AB55" s="72"/>
      <c r="AC55" s="72"/>
      <c r="AD55" s="72"/>
      <c r="AE55" s="72"/>
    </row>
    <row r="56" spans="2:31" x14ac:dyDescent="0.25">
      <c r="B56" t="s">
        <v>10</v>
      </c>
      <c r="G56" s="5">
        <f>(G50*B57)+(H50*B58)+(I50*B59)+(J50*B60)</f>
        <v>-0.99999999984769128</v>
      </c>
      <c r="H56" s="5">
        <f>(G50*C57)+(H50*C58)+(I50*C59)+(J50*C60)</f>
        <v>-1.8377119907391478E-16</v>
      </c>
      <c r="I56" s="5">
        <f>(G50*D57)+(H50*D58)+(I50*D59)+(J50*D60)</f>
        <v>1.7453292519118459E-5</v>
      </c>
      <c r="J56" s="26">
        <f>(G50*E57)+(H50*E58)+(I50*E59)+(J50*E60)</f>
        <v>474.76936731814618</v>
      </c>
      <c r="O56" t="s">
        <v>6</v>
      </c>
      <c r="T56" s="5">
        <f>(T50*O57)+(U50*O58)+(V50*O59)+(W50*O60)</f>
        <v>1</v>
      </c>
      <c r="U56" s="5">
        <f>(T50*P57)+(U50*P58)+(V50*P59)+(W50*P60)</f>
        <v>-6.1257422745431001E-17</v>
      </c>
      <c r="V56" s="5">
        <f>(T50*Q57)+(U50*Q58)+(V50*Q59)+(W50*Q60)</f>
        <v>6.1257422745431001E-17</v>
      </c>
      <c r="W56" s="5">
        <f>(T50*R57)+(U50*R58)+(V50*R59)+(W50*R60)</f>
        <v>474.77</v>
      </c>
      <c r="Y56" s="5">
        <f>(Y48*Z49)-(Y49*Z48)</f>
        <v>6.1257529659709512E-17</v>
      </c>
      <c r="Z56" s="5">
        <f>(AA48*AB49)-(AA49*AB48)</f>
        <v>1.7453292520054408E-6</v>
      </c>
      <c r="AA56" s="5">
        <f>(AC48*AD49)-(AC49*AD48)</f>
        <v>-0.99999999999847689</v>
      </c>
      <c r="AB56" s="72"/>
      <c r="AC56" s="72"/>
      <c r="AD56" s="72"/>
      <c r="AE56" s="72"/>
    </row>
    <row r="57" spans="2:31" x14ac:dyDescent="0.25">
      <c r="B57" s="5">
        <f>COS(C18)</f>
        <v>-1</v>
      </c>
      <c r="C57" s="5">
        <f>-SIN(C18)*COS(D18)</f>
        <v>-1.22514845490862E-16</v>
      </c>
      <c r="D57" s="5">
        <f>SIN(C18)*SIN(D18)</f>
        <v>0</v>
      </c>
      <c r="E57" s="5">
        <f>F18*COS(C18)</f>
        <v>0</v>
      </c>
      <c r="G57" s="5">
        <f>(G51*B57)+(H51*B58)+(I51*B59)+(J51*B60)</f>
        <v>0</v>
      </c>
      <c r="H57" s="5">
        <f>(G51*C57)+(H51*C58)+(I51*C59)+(J51*C60)</f>
        <v>0</v>
      </c>
      <c r="I57" s="5">
        <f>(G51*D57)+(H51*D58)+(I51*D59)+(J51*D60)</f>
        <v>0</v>
      </c>
      <c r="J57" s="5">
        <f>(G51*E57)+(H51*E58)+(I51*E59)+(J51*E60)</f>
        <v>1</v>
      </c>
      <c r="O57" s="5">
        <f>COS(P38)</f>
        <v>6.1257422745431001E-17</v>
      </c>
      <c r="P57" s="5">
        <f>-SIN(P38)*COS(Q38)</f>
        <v>1</v>
      </c>
      <c r="Q57" s="5">
        <f>SIN(P38)*SIN(Q38)</f>
        <v>0</v>
      </c>
      <c r="R57" s="5">
        <f>S38*COS(P38)</f>
        <v>1.8683513937356455E-14</v>
      </c>
      <c r="T57" s="5">
        <f>(T51*O57)+(U51*O58)+(V51*O59)+(W51*O60)</f>
        <v>0</v>
      </c>
      <c r="U57" s="5">
        <f>(T51*P57)+(U51*P58)+(V51*P59)+(W51*P60)</f>
        <v>0</v>
      </c>
      <c r="V57" s="5">
        <f>(T51*Q57)+(U51*Q58)+(V51*Q59)+(W51*Q60)</f>
        <v>0</v>
      </c>
      <c r="W57" s="5">
        <f>(T51*R57)+(U51*R58)+(V51*R59)+(W51*R60)</f>
        <v>1</v>
      </c>
      <c r="Y57" s="5">
        <f>(Y50*Z51)-(Y51*Z50)</f>
        <v>6.1257315830965874E-17</v>
      </c>
      <c r="Z57" s="5">
        <f>(AA50*AB51)-(AA51*AB50)</f>
        <v>0.99999999999847689</v>
      </c>
      <c r="AA57" s="5">
        <f>(AC50*AD51)-(AC51*AD50)</f>
        <v>1.7453292520054408E-6</v>
      </c>
      <c r="AB57" s="72"/>
      <c r="AC57" s="72"/>
      <c r="AD57" s="72"/>
      <c r="AE57" s="72"/>
    </row>
    <row r="58" spans="2:31" x14ac:dyDescent="0.25">
      <c r="B58" s="5">
        <f>SIN(C18)</f>
        <v>1.22514845490862E-16</v>
      </c>
      <c r="C58" s="5">
        <f>COS(C18)*COS(D18)</f>
        <v>-1</v>
      </c>
      <c r="D58" s="5">
        <f>-COS(C18)*SIN(D18)</f>
        <v>0</v>
      </c>
      <c r="E58" s="5">
        <f>F18*SIN(C18)</f>
        <v>0</v>
      </c>
      <c r="O58" s="5">
        <f>SIN(P38)</f>
        <v>-1</v>
      </c>
      <c r="P58" s="5">
        <f>COS(P38)*COS(Q38)</f>
        <v>6.1257422745431001E-17</v>
      </c>
      <c r="Q58" s="5">
        <f>-COS(P38)*SIN(Q38)</f>
        <v>0</v>
      </c>
      <c r="R58" s="5">
        <f>S38*SIN(P38)</f>
        <v>-305</v>
      </c>
      <c r="Y58" s="5">
        <f>(Y52*Z53)-(Y53*Z52)</f>
        <v>0.99999999999999989</v>
      </c>
      <c r="Z58" s="5">
        <f>(AA52*AB53)-(AA53*AB52)</f>
        <v>-6.1257422745430988E-17</v>
      </c>
      <c r="AA58" s="5">
        <f>(AC52*AD53)-(AC53*AD52)</f>
        <v>6.1257422745430988E-17</v>
      </c>
      <c r="AB58" s="72"/>
      <c r="AC58" s="72"/>
      <c r="AD58" s="72"/>
      <c r="AE58" s="72"/>
    </row>
    <row r="59" spans="2:31" ht="15.75" thickBot="1" x14ac:dyDescent="0.3">
      <c r="B59" s="5">
        <v>0</v>
      </c>
      <c r="C59" s="5">
        <f>SIN(D18)</f>
        <v>0</v>
      </c>
      <c r="D59" s="5">
        <f>COS(D18)</f>
        <v>1</v>
      </c>
      <c r="E59" s="5">
        <f>E18</f>
        <v>-36.25</v>
      </c>
      <c r="G59" t="s">
        <v>56</v>
      </c>
      <c r="O59" s="5">
        <v>0</v>
      </c>
      <c r="P59" s="5">
        <f>SIN(Q38)</f>
        <v>0</v>
      </c>
      <c r="Q59" s="5">
        <f>COS(Q38)</f>
        <v>1</v>
      </c>
      <c r="R59" s="5">
        <f>R38</f>
        <v>0</v>
      </c>
      <c r="T59" t="s">
        <v>48</v>
      </c>
      <c r="Y59" s="72"/>
      <c r="Z59" s="72"/>
      <c r="AA59" s="72"/>
      <c r="AB59" s="72"/>
      <c r="AC59" s="72"/>
      <c r="AD59" s="72"/>
      <c r="AE59" s="72"/>
    </row>
    <row r="60" spans="2:31" x14ac:dyDescent="0.25">
      <c r="B60" s="5">
        <v>0</v>
      </c>
      <c r="C60" s="5">
        <v>0</v>
      </c>
      <c r="D60" s="5">
        <v>0</v>
      </c>
      <c r="E60" s="5">
        <v>1</v>
      </c>
      <c r="G60" s="27">
        <f>(G54*B63)+(H54*B64)+(I54*B65)+(J54*B66)</f>
        <v>-1.7453292519091876E-5</v>
      </c>
      <c r="H60" s="27">
        <f>(G54*C63)+(H54*C64)+(I54*C65)+(J54*C66)</f>
        <v>1.7453292521181228E-6</v>
      </c>
      <c r="I60" s="27">
        <f>(G54*D63)+(H54*D64)+(I54*D65)+(J54*D66)</f>
        <v>-0.99999999984616816</v>
      </c>
      <c r="J60" s="26">
        <f>(G54*E63)+(H54*E64)+(I54*E65)+(J54*E66)</f>
        <v>323.07999999398675</v>
      </c>
      <c r="O60" s="5">
        <v>0</v>
      </c>
      <c r="P60" s="5">
        <v>0</v>
      </c>
      <c r="Q60" s="5">
        <v>0</v>
      </c>
      <c r="R60" s="5">
        <v>1</v>
      </c>
      <c r="T60" s="64">
        <f>(T54*O63)+(U54*O64)+(V54*O65)+(W54*O66)</f>
        <v>6.1257529659709512E-17</v>
      </c>
      <c r="U60" s="65">
        <f>(T54*P63)+(U54*P64)+(V54*P65)+(W54*P66)</f>
        <v>-1.7453292520054408E-6</v>
      </c>
      <c r="V60" s="66">
        <f>(T54*Q63)+(U54*Q64)+(V54*Q65)+(W54*Q66)</f>
        <v>-0.99999999999847689</v>
      </c>
      <c r="W60" s="48">
        <f>(T54*R63)+(U54*R64)+(V54*R65)+(W54*R66)</f>
        <v>64.199999999902232</v>
      </c>
      <c r="Y60" s="72" t="s">
        <v>69</v>
      </c>
      <c r="Z60" s="72"/>
      <c r="AA60" s="72"/>
      <c r="AB60" s="72"/>
      <c r="AC60" s="72"/>
      <c r="AD60" s="72"/>
      <c r="AE60" s="72"/>
    </row>
    <row r="61" spans="2:31" x14ac:dyDescent="0.25">
      <c r="G61" s="27">
        <f>(G55*B63)+(H55*B64)+(I55*B65)+(J55*B66)</f>
        <v>-3.0461558208192803E-11</v>
      </c>
      <c r="H61" s="27">
        <f>(G55*C63)+(H55*C64)+(I55*C65)+(J55*C66)</f>
        <v>-0.99999999999847689</v>
      </c>
      <c r="I61" s="27">
        <f>(G55*D63)+(H55*D64)+(I55*D65)+(J55*D66)</f>
        <v>-1.7453292518522972E-6</v>
      </c>
      <c r="J61" s="26">
        <f>(G55*E63)+(H55*E64)+(I55*E65)+(J55*E66)</f>
        <v>5.638809747499368E-4</v>
      </c>
      <c r="T61" s="67">
        <f>(T55*O63)+(U55*O64)+(V55*O65)+(W55*O66)</f>
        <v>-6.1257315830965874E-17</v>
      </c>
      <c r="U61" s="54">
        <f>(T55*P63)+(U55*P64)+(V55*P65)+(W55*P66)</f>
        <v>0.99999999999847689</v>
      </c>
      <c r="V61" s="68">
        <f>(T55*Q63)+(U55*Q64)+(V55*Q65)+(W55*Q66)</f>
        <v>-1.7453292520054408E-6</v>
      </c>
      <c r="W61" s="48">
        <f>(T55*R63)+(U55*R64)+(V55*R65)+(W55*R66)</f>
        <v>1.1205013796399854E-4</v>
      </c>
      <c r="Y61" s="5">
        <v>1</v>
      </c>
      <c r="Z61" s="5">
        <v>-1</v>
      </c>
      <c r="AA61" s="5">
        <v>1</v>
      </c>
      <c r="AB61" s="72"/>
      <c r="AC61" s="5">
        <f>Y56*Y61</f>
        <v>6.1257529659709512E-17</v>
      </c>
      <c r="AD61" s="5">
        <f t="shared" ref="AD61:AE63" si="4">Z56*Z61</f>
        <v>-1.7453292520054408E-6</v>
      </c>
      <c r="AE61" s="5">
        <f t="shared" si="4"/>
        <v>-0.99999999999847689</v>
      </c>
    </row>
    <row r="62" spans="2:31" ht="15.75" thickBot="1" x14ac:dyDescent="0.3">
      <c r="B62" t="s">
        <v>42</v>
      </c>
      <c r="G62" s="27">
        <f>(G56*B63)+(H56*B64)+(I56*B65)+(J56*B66)</f>
        <v>-0.99999999984769128</v>
      </c>
      <c r="H62" s="27">
        <f>(G56*C63)+(H56*C64)+(I56*C65)+(J56*C66)</f>
        <v>-1.8377119907391478E-16</v>
      </c>
      <c r="I62" s="27">
        <f>(G56*D63)+(H56*D64)+(I56*D65)+(J56*D66)</f>
        <v>1.7453292519118459E-5</v>
      </c>
      <c r="J62" s="26">
        <f>(G56*E63)+(H56*E64)+(I56*E65)+(J56*E66)</f>
        <v>474.76936731814618</v>
      </c>
      <c r="O62" t="s">
        <v>7</v>
      </c>
      <c r="T62" s="69">
        <f>(T56*O63)+(U56*O64)+(V56*O65)+(W56*O66)</f>
        <v>1</v>
      </c>
      <c r="U62" s="70">
        <f>(T56*P63)+(U56*P64)+(V56*P65)+(W56*P66)</f>
        <v>6.1257422745431001E-17</v>
      </c>
      <c r="V62" s="71">
        <f>(T56*Q63)+(U56*Q64)+(V56*Q65)+(W56*Q66)</f>
        <v>6.1257422745431001E-17</v>
      </c>
      <c r="W62" s="48">
        <f>(T56*R63)+(U56*R64)+(V56*R65)+(W56*R66)</f>
        <v>474.77</v>
      </c>
      <c r="Y62" s="5">
        <v>-1</v>
      </c>
      <c r="Z62" s="5">
        <v>1</v>
      </c>
      <c r="AA62" s="5">
        <v>-1</v>
      </c>
      <c r="AB62" s="73" t="s">
        <v>70</v>
      </c>
      <c r="AC62" s="5">
        <f t="shared" ref="AC62:AC63" si="5">Y57*Y62</f>
        <v>-6.1257315830965874E-17</v>
      </c>
      <c r="AD62" s="5">
        <f t="shared" si="4"/>
        <v>0.99999999999847689</v>
      </c>
      <c r="AE62" s="5">
        <f t="shared" si="4"/>
        <v>-1.7453292520054408E-6</v>
      </c>
    </row>
    <row r="63" spans="2:31" x14ac:dyDescent="0.25">
      <c r="B63" s="5">
        <f>COS(RADIANS(J18))*COS(RADIANS(J17))</f>
        <v>1</v>
      </c>
      <c r="C63" s="5">
        <f>-SIN(RADIANS(J18))*COS(RADIANS(J16))+COS(RADIANS(J18))*SIN(RADIANS(J17))*SIN(RADIANS(J16))</f>
        <v>0</v>
      </c>
      <c r="D63" s="5">
        <f>SIN(RADIANS(J18))*SIN(RADIANS(J16))+COS(RADIANS(J18))*SIN(RADIANS(J17))*COS(RADIANS(J16))</f>
        <v>0</v>
      </c>
      <c r="E63" s="5">
        <f>J13</f>
        <v>0</v>
      </c>
      <c r="G63" s="26">
        <f>(G57*B63)+(H57*B64)+(I57*B65)+(J57*B66)</f>
        <v>0</v>
      </c>
      <c r="H63" s="26">
        <f>(G57*C63)+(H57*C64)+(I57*C65)+(J57*C66)</f>
        <v>0</v>
      </c>
      <c r="I63" s="26">
        <f>(G57*D63)+(H57*D64)+(I57*D65)+(J57*D66)</f>
        <v>0</v>
      </c>
      <c r="J63" s="26">
        <f>(G57*E63)+(H57*E64)+(I57*E65)+(J57*E66)</f>
        <v>1</v>
      </c>
      <c r="O63" s="5">
        <f>COS(P39)</f>
        <v>1</v>
      </c>
      <c r="P63" s="5">
        <f>-SIN(P39)*COS(Q39)</f>
        <v>0</v>
      </c>
      <c r="Q63" s="5">
        <f>SIN(P39)*SIN(Q39)</f>
        <v>0</v>
      </c>
      <c r="R63" s="5">
        <f>S39*COS(P39)</f>
        <v>0</v>
      </c>
      <c r="T63" s="49">
        <f>(T57*O63)+(U57*O64)+(V57*O65)+(W57*O66)</f>
        <v>0</v>
      </c>
      <c r="U63" s="49">
        <f>(T57*P63)+(U57*P64)+(V57*P65)+(W57*P66)</f>
        <v>0</v>
      </c>
      <c r="V63" s="49">
        <f>(T57*Q63)+(U57*Q64)+(V57*Q65)+(W57*Q66)</f>
        <v>0</v>
      </c>
      <c r="W63" s="5">
        <f>(T57*R63)+(U57*R64)+(V57*R65)+(W57*R66)</f>
        <v>1</v>
      </c>
      <c r="Y63" s="5">
        <v>1</v>
      </c>
      <c r="Z63" s="5">
        <v>-1</v>
      </c>
      <c r="AA63" s="5">
        <v>1</v>
      </c>
      <c r="AB63" s="72"/>
      <c r="AC63" s="5">
        <f t="shared" si="5"/>
        <v>0.99999999999999989</v>
      </c>
      <c r="AD63" s="5">
        <f t="shared" si="4"/>
        <v>6.1257422745430988E-17</v>
      </c>
      <c r="AE63" s="5">
        <f t="shared" si="4"/>
        <v>6.1257422745430988E-17</v>
      </c>
    </row>
    <row r="64" spans="2:31" x14ac:dyDescent="0.25">
      <c r="B64" s="5">
        <f>SIN(RADIANS(J18))*COS(RADIANS(J17))</f>
        <v>0</v>
      </c>
      <c r="C64" s="5">
        <f>COS(RADIANS(J18))*COS(RADIANS(J16))+SIN(RADIANS(J18))*SIN(RADIANS(J17))*SIN(RADIANS(J16))</f>
        <v>1</v>
      </c>
      <c r="D64" s="5">
        <f>-COS(RADIANS(J18))*SIN(RADIANS(J16))+SIN(RADIANS(J18))*SIN(RADIANS(J17))*COS(RADIANS(J16))</f>
        <v>0</v>
      </c>
      <c r="E64" s="5">
        <f>J14</f>
        <v>0</v>
      </c>
      <c r="O64" s="5">
        <f>SIN(P39)</f>
        <v>0</v>
      </c>
      <c r="P64" s="5">
        <f>COS(P39)*COS(Q39)</f>
        <v>6.1257422745431001E-17</v>
      </c>
      <c r="Q64" s="5">
        <f>-COS(P39)*SIN(Q39)</f>
        <v>-1</v>
      </c>
      <c r="R64" s="5">
        <f>S39*SIN(P39)</f>
        <v>0</v>
      </c>
      <c r="Y64" s="72"/>
      <c r="Z64" s="72"/>
      <c r="AA64" s="72"/>
      <c r="AB64" s="72"/>
      <c r="AC64" s="72"/>
      <c r="AD64" s="72"/>
      <c r="AE64" s="72"/>
    </row>
    <row r="65" spans="2:31" x14ac:dyDescent="0.25">
      <c r="B65" s="5">
        <f>-SIN(RADIANS(J18))</f>
        <v>0</v>
      </c>
      <c r="C65" s="5">
        <f>COS(RADIANS(J17))*SIN(RADIANS(J16))</f>
        <v>0</v>
      </c>
      <c r="D65" s="5">
        <f>COS(RADIANS(J17))*COS(RADIANS(J16))</f>
        <v>1</v>
      </c>
      <c r="E65" s="5">
        <f>J18</f>
        <v>0</v>
      </c>
      <c r="O65" s="5">
        <v>0</v>
      </c>
      <c r="P65" s="5">
        <f>SIN(Q39)</f>
        <v>1</v>
      </c>
      <c r="Q65" s="5">
        <f>COS(Q39)</f>
        <v>6.1257422745431001E-17</v>
      </c>
      <c r="R65" s="5">
        <f>R39</f>
        <v>0</v>
      </c>
      <c r="T65" s="18"/>
      <c r="U65" s="18"/>
      <c r="V65" s="18"/>
      <c r="W65" s="18"/>
      <c r="Y65" s="72" t="s">
        <v>71</v>
      </c>
      <c r="Z65" s="72"/>
      <c r="AA65" s="72"/>
      <c r="AB65" s="72"/>
      <c r="AC65" s="72"/>
      <c r="AD65" s="72"/>
      <c r="AE65" s="72"/>
    </row>
    <row r="66" spans="2:31" x14ac:dyDescent="0.25">
      <c r="B66" s="5">
        <v>0</v>
      </c>
      <c r="C66" s="5">
        <v>0</v>
      </c>
      <c r="D66" s="5">
        <v>0</v>
      </c>
      <c r="E66" s="5">
        <v>1</v>
      </c>
      <c r="O66" s="5">
        <v>0</v>
      </c>
      <c r="P66" s="5">
        <v>0</v>
      </c>
      <c r="Q66" s="5">
        <v>0</v>
      </c>
      <c r="R66" s="5">
        <v>1</v>
      </c>
      <c r="T66" s="18"/>
      <c r="U66" s="18"/>
      <c r="V66" s="18"/>
      <c r="W66" s="18"/>
      <c r="Y66" s="5">
        <f>AC61</f>
        <v>6.1257529659709512E-17</v>
      </c>
      <c r="Z66" s="5">
        <f>AC62</f>
        <v>-6.1257315830965874E-17</v>
      </c>
      <c r="AA66" s="5">
        <f>AC63</f>
        <v>0.99999999999999989</v>
      </c>
      <c r="AB66" s="72"/>
      <c r="AC66" s="72"/>
      <c r="AD66" s="72"/>
      <c r="AE66" s="72"/>
    </row>
    <row r="67" spans="2:31" x14ac:dyDescent="0.25">
      <c r="T67" s="18"/>
      <c r="U67" s="18"/>
      <c r="V67" s="18"/>
      <c r="W67" s="18"/>
      <c r="Y67" s="5">
        <f>AD61</f>
        <v>-1.7453292520054408E-6</v>
      </c>
      <c r="Z67" s="5">
        <f>AD62</f>
        <v>0.99999999999847689</v>
      </c>
      <c r="AA67" s="5">
        <f>AD63</f>
        <v>6.1257422745430988E-17</v>
      </c>
      <c r="AB67" s="72"/>
      <c r="AC67" s="72"/>
      <c r="AD67" s="72"/>
      <c r="AE67" s="72"/>
    </row>
    <row r="68" spans="2:31" x14ac:dyDescent="0.25">
      <c r="O68" t="s">
        <v>61</v>
      </c>
      <c r="R68" s="16"/>
      <c r="S68" s="16"/>
      <c r="V68" s="18"/>
      <c r="W68" s="18"/>
      <c r="Y68" s="5">
        <f>AE61</f>
        <v>-0.99999999999847689</v>
      </c>
      <c r="Z68" s="5">
        <f>AE62</f>
        <v>-1.7453292520054408E-6</v>
      </c>
      <c r="AA68" s="5">
        <f>AE63</f>
        <v>6.1257422745430988E-17</v>
      </c>
      <c r="AB68" s="72"/>
      <c r="AC68" s="72"/>
      <c r="AD68" s="72"/>
      <c r="AE68" s="72"/>
    </row>
    <row r="69" spans="2:31" x14ac:dyDescent="0.25">
      <c r="O69" s="5">
        <f>COS(RADIANS(N9))</f>
        <v>1</v>
      </c>
      <c r="P69" s="5">
        <f>-SIN(RADIANS(N9))</f>
        <v>0</v>
      </c>
      <c r="Q69" s="5">
        <v>0</v>
      </c>
      <c r="R69" s="16"/>
      <c r="S69" s="18"/>
      <c r="T69" s="18"/>
      <c r="U69" s="18"/>
      <c r="V69" s="18"/>
      <c r="W69" s="18"/>
      <c r="Y69" s="72"/>
      <c r="Z69" s="72"/>
      <c r="AA69" s="72"/>
      <c r="AB69" s="72"/>
      <c r="AC69" s="72"/>
      <c r="AD69" s="72"/>
      <c r="AE69" s="72"/>
    </row>
    <row r="70" spans="2:31" ht="15.75" thickBot="1" x14ac:dyDescent="0.3">
      <c r="O70" s="5">
        <f>SIN(RADIANS(N9))</f>
        <v>0</v>
      </c>
      <c r="P70" s="5">
        <f>COS(RADIANS(N9))</f>
        <v>1</v>
      </c>
      <c r="Q70" s="5">
        <v>0</v>
      </c>
      <c r="R70" s="16"/>
      <c r="S70" s="18"/>
      <c r="T70" s="18"/>
      <c r="U70" s="18"/>
      <c r="V70" s="18"/>
      <c r="W70" s="18"/>
      <c r="Y70" s="72" t="s">
        <v>67</v>
      </c>
      <c r="Z70" s="72"/>
      <c r="AA70" s="72" t="s">
        <v>75</v>
      </c>
      <c r="AB70" s="72"/>
      <c r="AC70" s="72"/>
      <c r="AD70" s="72"/>
      <c r="AE70" s="72"/>
    </row>
    <row r="71" spans="2:31" x14ac:dyDescent="0.25">
      <c r="O71" s="5">
        <v>0</v>
      </c>
      <c r="P71" s="5">
        <v>0</v>
      </c>
      <c r="Q71" s="5">
        <v>1</v>
      </c>
      <c r="R71" s="16"/>
      <c r="S71" s="18" t="s">
        <v>63</v>
      </c>
      <c r="T71" s="18"/>
      <c r="U71" s="18"/>
      <c r="V71" s="18"/>
      <c r="W71" s="18"/>
      <c r="Y71" s="5">
        <f>(T60*AC61)+(U60*AD61)+(V60*AE61)</f>
        <v>0.99999999999999989</v>
      </c>
      <c r="Z71" s="72"/>
      <c r="AA71" s="50">
        <f>1/$Y$71*Y66</f>
        <v>6.1257529659709512E-17</v>
      </c>
      <c r="AB71" s="76">
        <f>1/$Y$71*Z66</f>
        <v>-6.1257315830965874E-17</v>
      </c>
      <c r="AC71" s="51">
        <f>1/$Y$71*AA66</f>
        <v>0.99999999999999989</v>
      </c>
      <c r="AD71" s="72"/>
      <c r="AE71" s="72"/>
    </row>
    <row r="72" spans="2:31" x14ac:dyDescent="0.25">
      <c r="O72" s="16"/>
      <c r="P72" s="16"/>
      <c r="Q72" s="16"/>
      <c r="R72" s="16"/>
      <c r="S72" s="5">
        <f>(O69*O$74)+(P69*O$75)+(Q69*O$76)</f>
        <v>1</v>
      </c>
      <c r="T72" s="5">
        <f>(O69*P$74)+(P69*P$75)+(Q69*P$76)</f>
        <v>0</v>
      </c>
      <c r="U72" s="5">
        <f>(O69*Q$74)+(P69*Q$75)+(Q69*Q$76)</f>
        <v>0</v>
      </c>
      <c r="V72" s="18"/>
      <c r="W72" s="18"/>
      <c r="X72" s="16"/>
      <c r="Y72" s="80"/>
      <c r="Z72" s="72"/>
      <c r="AA72" s="77">
        <f t="shared" ref="AA72:AA73" si="6">1/$Y$71*Y67</f>
        <v>-1.7453292520054408E-6</v>
      </c>
      <c r="AB72" s="5">
        <f t="shared" ref="AB72:AB73" si="7">1/$Y$71*Z67</f>
        <v>0.99999999999847689</v>
      </c>
      <c r="AC72" s="78">
        <f t="shared" ref="AC72:AC73" si="8">1/$Y$71*AA67</f>
        <v>6.1257422745430988E-17</v>
      </c>
      <c r="AD72" s="72"/>
      <c r="AE72" s="72"/>
    </row>
    <row r="73" spans="2:31" ht="15.75" thickBot="1" x14ac:dyDescent="0.3">
      <c r="O73" s="16" t="s">
        <v>87</v>
      </c>
      <c r="P73" s="16"/>
      <c r="Q73" s="16"/>
      <c r="R73" s="16"/>
      <c r="S73" s="5">
        <f>(O70*O$74)+(P70*O$75)+(Q70*O$76)</f>
        <v>0</v>
      </c>
      <c r="T73" s="5">
        <f>(O70*P$74)+(P70*P$75)+(Q70*P$76)</f>
        <v>1</v>
      </c>
      <c r="U73" s="5">
        <f>(O70*Q$74)+(P70*Q$75)+(Q70*Q$76)</f>
        <v>0</v>
      </c>
      <c r="V73" s="18"/>
      <c r="W73" s="18"/>
      <c r="X73" s="16"/>
      <c r="Y73" s="80"/>
      <c r="Z73" s="72"/>
      <c r="AA73" s="52">
        <f t="shared" si="6"/>
        <v>-0.99999999999847689</v>
      </c>
      <c r="AB73" s="79">
        <f t="shared" si="7"/>
        <v>-1.7453292520054408E-6</v>
      </c>
      <c r="AC73" s="53">
        <f t="shared" si="8"/>
        <v>6.1257422745430988E-17</v>
      </c>
      <c r="AD73" s="72"/>
      <c r="AE73" s="72"/>
    </row>
    <row r="74" spans="2:31" x14ac:dyDescent="0.25">
      <c r="O74" s="5">
        <f>COS(RADIANS(N8))</f>
        <v>1</v>
      </c>
      <c r="P74" s="5">
        <v>0</v>
      </c>
      <c r="Q74" s="5">
        <f>SIN(RADIANS(N8))</f>
        <v>0</v>
      </c>
      <c r="S74" s="5">
        <f>(O71*O$74)+(P71*O$75)+(Q71*O$76)</f>
        <v>0</v>
      </c>
      <c r="T74" s="5">
        <f>(O71*P$74)+(P71*P$75)+(Q71*P$76)</f>
        <v>0</v>
      </c>
      <c r="U74" s="5">
        <f>(O71*Q$74)+(P71*Q$75)+(Q71*Q$76)</f>
        <v>1</v>
      </c>
      <c r="V74" s="18"/>
      <c r="W74" s="18"/>
      <c r="X74" s="16"/>
      <c r="Y74" s="80"/>
      <c r="Z74" s="72"/>
      <c r="AA74" s="72"/>
      <c r="AB74" s="72"/>
      <c r="AC74" s="72"/>
      <c r="AD74" s="72"/>
      <c r="AE74" s="72"/>
    </row>
    <row r="75" spans="2:31" x14ac:dyDescent="0.25">
      <c r="O75" s="5">
        <v>0</v>
      </c>
      <c r="P75" s="5">
        <v>1</v>
      </c>
      <c r="Q75" s="5">
        <v>0</v>
      </c>
      <c r="R75" s="16"/>
      <c r="S75" s="16"/>
      <c r="T75" s="16"/>
      <c r="U75" s="16"/>
      <c r="V75" s="18"/>
      <c r="W75" s="18"/>
      <c r="Y75" s="72" t="s">
        <v>74</v>
      </c>
      <c r="Z75" s="72"/>
      <c r="AA75" s="72"/>
      <c r="AB75" s="72"/>
      <c r="AC75" s="72"/>
      <c r="AD75" s="72"/>
      <c r="AE75" s="72"/>
    </row>
    <row r="76" spans="2:31" x14ac:dyDescent="0.25">
      <c r="O76" s="5">
        <f>-SIN(RADIANS(N8))</f>
        <v>0</v>
      </c>
      <c r="P76" s="5">
        <v>0</v>
      </c>
      <c r="Q76" s="5">
        <f>COS(RADIANS(N8))</f>
        <v>1</v>
      </c>
      <c r="R76" s="16"/>
      <c r="S76" s="16" t="s">
        <v>64</v>
      </c>
      <c r="T76" s="16"/>
      <c r="U76" s="16"/>
      <c r="V76" s="16"/>
      <c r="W76" s="16"/>
      <c r="Y76" s="72"/>
      <c r="Z76" s="72"/>
      <c r="AA76" s="5">
        <f>(T60*AA$71)+(U60*AA$72)+(V60*AA$73)</f>
        <v>0.99999999999999989</v>
      </c>
      <c r="AB76" s="5">
        <f>(T60*AB$71)+(U60*AB$72)+(V60*AB$73)</f>
        <v>0</v>
      </c>
      <c r="AC76" s="5">
        <f>(T60*AC$71)+(U60*AC$72)+(V60*AC$73)</f>
        <v>0</v>
      </c>
      <c r="AD76" s="72"/>
      <c r="AE76" s="72"/>
    </row>
    <row r="77" spans="2:31" x14ac:dyDescent="0.25">
      <c r="O77" s="16"/>
      <c r="P77" s="16"/>
      <c r="Q77" s="16"/>
      <c r="R77" s="16"/>
      <c r="S77" s="5">
        <f>(S72*O$79)+(T72*O$80)+(U72*O$81)</f>
        <v>1</v>
      </c>
      <c r="T77" s="5">
        <f>(S72*P$79)+(T72*P$80)+(U72*P$81)</f>
        <v>0</v>
      </c>
      <c r="U77" s="5">
        <f>(S72*Q$79)+(T72*Q$80)+(U72*Q$81)</f>
        <v>0</v>
      </c>
      <c r="V77" s="16"/>
      <c r="W77" s="16"/>
      <c r="Y77" s="72"/>
      <c r="Z77" s="72"/>
      <c r="AA77" s="5">
        <f t="shared" ref="AA77:AA78" si="9">(T61*AA$71)+(U61*AA$72)+(V61*AA$73)</f>
        <v>0</v>
      </c>
      <c r="AB77" s="5">
        <f t="shared" ref="AB77:AB78" si="10">(T61*AB$71)+(U61*AB$72)+(V61*AB$73)</f>
        <v>0.99999999999999989</v>
      </c>
      <c r="AC77" s="5">
        <f t="shared" ref="AC77:AC78" si="11">(T61*AC$71)+(U61*AC$72)+(V61*AC$73)</f>
        <v>-1.0676544990778509E-33</v>
      </c>
      <c r="AD77" s="72"/>
      <c r="AE77" s="72"/>
    </row>
    <row r="78" spans="2:31" x14ac:dyDescent="0.25">
      <c r="O78" s="16" t="s">
        <v>62</v>
      </c>
      <c r="P78" s="16"/>
      <c r="Q78" s="16"/>
      <c r="R78" s="16"/>
      <c r="S78" s="5">
        <f>(S73*O$79)+(T73*O$80)+(U73*O$81)</f>
        <v>0</v>
      </c>
      <c r="T78" s="5">
        <f>(S73*P$79)+(T73*P$80)+(U73*P$81)</f>
        <v>1</v>
      </c>
      <c r="U78" s="5">
        <f>(S73*Q$79)+(T73*Q$80)+(U73*Q$81)</f>
        <v>0</v>
      </c>
      <c r="V78" s="16"/>
      <c r="W78" s="16"/>
      <c r="Y78" s="72"/>
      <c r="Z78" s="72"/>
      <c r="AA78" s="5">
        <f t="shared" si="9"/>
        <v>0</v>
      </c>
      <c r="AB78" s="5">
        <f t="shared" si="10"/>
        <v>-1.0676780089648673E-33</v>
      </c>
      <c r="AC78" s="5">
        <f t="shared" si="11"/>
        <v>0.99999999999999989</v>
      </c>
      <c r="AD78" s="72"/>
      <c r="AE78" s="72"/>
    </row>
    <row r="79" spans="2:31" x14ac:dyDescent="0.25">
      <c r="O79" s="5">
        <v>1</v>
      </c>
      <c r="P79" s="5">
        <v>0</v>
      </c>
      <c r="Q79" s="5">
        <v>0</v>
      </c>
      <c r="R79" s="16"/>
      <c r="S79" s="5">
        <f>(S74*O$79)+(T74*O$80)+(U74*O$81)</f>
        <v>0</v>
      </c>
      <c r="T79" s="5">
        <f>(S74*P$79)+(T74*P$80)+(U74*P$81)</f>
        <v>0</v>
      </c>
      <c r="U79" s="5">
        <f>(S74*Q$79)+(T74*Q$80)+(U74*Q$81)</f>
        <v>1</v>
      </c>
      <c r="V79" s="16"/>
      <c r="W79" s="16"/>
    </row>
    <row r="80" spans="2:31" x14ac:dyDescent="0.25">
      <c r="O80" s="5">
        <v>0</v>
      </c>
      <c r="P80" s="5">
        <f>COS(RADIANS(N7))</f>
        <v>1</v>
      </c>
      <c r="Q80" s="5">
        <f>-SIN(RADIANS(N7))</f>
        <v>0</v>
      </c>
      <c r="R80" s="16"/>
      <c r="S80" s="16"/>
      <c r="T80" s="16"/>
      <c r="U80" s="16"/>
      <c r="V80" s="16"/>
      <c r="W80" s="16"/>
    </row>
    <row r="81" spans="6:23" ht="15.75" thickBot="1" x14ac:dyDescent="0.3">
      <c r="O81" s="5">
        <v>0</v>
      </c>
      <c r="P81" s="5">
        <f>SIN(RADIANS(N7))</f>
        <v>0</v>
      </c>
      <c r="Q81" s="5">
        <f>COS(RADIANS(N7))</f>
        <v>1</v>
      </c>
      <c r="R81" s="16"/>
      <c r="S81" s="16" t="s">
        <v>65</v>
      </c>
      <c r="T81" s="16"/>
      <c r="U81" s="16"/>
      <c r="V81" s="16"/>
      <c r="W81" s="16"/>
    </row>
    <row r="82" spans="6:23" x14ac:dyDescent="0.25">
      <c r="F82" s="16"/>
      <c r="G82" s="16"/>
      <c r="H82" s="16"/>
      <c r="R82" s="16"/>
      <c r="S82" s="55">
        <f>(S77*O$84)+(T77*O$85)+(U77*O$86)</f>
        <v>-1.7453292519091876E-5</v>
      </c>
      <c r="T82" s="56">
        <f>(S77*P$84)+(T77*P$85)+(U77*P$86)</f>
        <v>1.7453292521181228E-6</v>
      </c>
      <c r="U82" s="57">
        <f>(S77*Q$84)+(T77*Q$85)+(U77*Q$86)</f>
        <v>-0.99999999984616816</v>
      </c>
      <c r="V82" s="16"/>
      <c r="W82" s="16"/>
    </row>
    <row r="83" spans="6:23" x14ac:dyDescent="0.25">
      <c r="F83" s="16"/>
      <c r="G83" s="16"/>
      <c r="H83" s="16"/>
      <c r="O83" s="18" t="s">
        <v>57</v>
      </c>
      <c r="P83" s="18"/>
      <c r="Q83" s="18"/>
      <c r="R83" s="16"/>
      <c r="S83" s="58">
        <f>(S78*O$84)+(T78*O$85)+(U78*O$86)</f>
        <v>-3.0461558208192803E-11</v>
      </c>
      <c r="T83" s="59">
        <f>(S78*P$84)+(T78*P$85)+(U78*P$86)</f>
        <v>-0.99999999999847689</v>
      </c>
      <c r="U83" s="60">
        <f>(S78*Q$84)+(T78*Q$85)+(U78*Q$86)</f>
        <v>-1.7453292518522972E-6</v>
      </c>
      <c r="V83" s="16"/>
      <c r="W83" s="16"/>
    </row>
    <row r="84" spans="6:23" ht="15.75" thickBot="1" x14ac:dyDescent="0.3">
      <c r="F84" s="16"/>
      <c r="G84" s="16"/>
      <c r="H84" s="16"/>
      <c r="O84" s="27">
        <f t="shared" ref="O84:Q86" si="12">G60</f>
        <v>-1.7453292519091876E-5</v>
      </c>
      <c r="P84" s="27">
        <f t="shared" si="12"/>
        <v>1.7453292521181228E-6</v>
      </c>
      <c r="Q84" s="27">
        <f t="shared" si="12"/>
        <v>-0.99999999984616816</v>
      </c>
      <c r="R84" s="16"/>
      <c r="S84" s="61">
        <f>(S79*O$84)+(T79*O$85)+(U79*O$86)</f>
        <v>-0.99999999984769128</v>
      </c>
      <c r="T84" s="62">
        <f>(S79*P$84)+(T79*P$85)+(U79*P$86)</f>
        <v>-1.8377119907391478E-16</v>
      </c>
      <c r="U84" s="63">
        <f>(S79*Q$84)+(T79*Q$85)+(U79*Q$86)</f>
        <v>1.7453292519118459E-5</v>
      </c>
      <c r="V84" s="16"/>
      <c r="W84" s="16"/>
    </row>
    <row r="85" spans="6:23" x14ac:dyDescent="0.25">
      <c r="O85" s="27">
        <f t="shared" si="12"/>
        <v>-3.0461558208192803E-11</v>
      </c>
      <c r="P85" s="27">
        <f t="shared" si="12"/>
        <v>-0.99999999999847689</v>
      </c>
      <c r="Q85" s="27">
        <f t="shared" si="12"/>
        <v>-1.7453292518522972E-6</v>
      </c>
      <c r="R85" s="16"/>
      <c r="S85" s="16"/>
      <c r="T85" s="16"/>
      <c r="U85" s="16"/>
      <c r="V85" s="16"/>
      <c r="W85" s="16"/>
    </row>
    <row r="86" spans="6:23" x14ac:dyDescent="0.25">
      <c r="O86" s="27">
        <f t="shared" si="12"/>
        <v>-0.99999999984769128</v>
      </c>
      <c r="P86" s="27">
        <f t="shared" si="12"/>
        <v>-1.8377119907391478E-16</v>
      </c>
      <c r="Q86" s="27">
        <f t="shared" si="12"/>
        <v>1.7453292519118459E-5</v>
      </c>
      <c r="R86" s="16"/>
      <c r="S86" s="16"/>
      <c r="T86" s="16"/>
      <c r="U86" s="16"/>
      <c r="V86" s="16"/>
      <c r="W86" s="16"/>
    </row>
    <row r="87" spans="6:23" x14ac:dyDescent="0.25">
      <c r="O87" s="16"/>
      <c r="P87" s="16"/>
      <c r="Q87" s="16"/>
      <c r="R87" s="16"/>
      <c r="V87" s="16"/>
      <c r="W87" s="18"/>
    </row>
    <row r="88" spans="6:23" ht="15.75" thickBot="1" x14ac:dyDescent="0.3">
      <c r="O88" t="s">
        <v>76</v>
      </c>
      <c r="R88" s="16"/>
      <c r="V88" s="16"/>
      <c r="W88" s="18"/>
    </row>
    <row r="89" spans="6:23" x14ac:dyDescent="0.25">
      <c r="O89" s="81">
        <f>(AA71*S$82)+(AB71*S$83)+(AC71*S$84)</f>
        <v>-0.99999999984769117</v>
      </c>
      <c r="P89" s="82">
        <f>(AA71*T$82)+(AB71*T$83)+(AC71*T$84)</f>
        <v>-1.2251377632848377E-16</v>
      </c>
      <c r="Q89" s="47">
        <f>(AA71*U$82)+(AB71*U$83)+(AC71*U$84)</f>
        <v>1.7453292519057198E-5</v>
      </c>
      <c r="R89" s="16"/>
      <c r="V89" s="16"/>
      <c r="W89" s="18"/>
    </row>
    <row r="90" spans="6:23" x14ac:dyDescent="0.25">
      <c r="O90" s="83">
        <f>(AA72*S$82)+(AB72*S$83)+(AC72*S$84)</f>
        <v>1.2251180963748406E-16</v>
      </c>
      <c r="P90" s="84">
        <f>(AA72*T$82)+(AB72*T$83)+(AC72*T$84)</f>
        <v>-0.99999999999999989</v>
      </c>
      <c r="Q90" s="85">
        <f>(AA72*U$82)+(AB72*U$83)+(AC72*U$84)</f>
        <v>-1.1268417075249452E-16</v>
      </c>
      <c r="R90" s="16"/>
      <c r="V90" s="16"/>
      <c r="W90" s="18"/>
    </row>
    <row r="91" spans="6:23" ht="15.75" thickBot="1" x14ac:dyDescent="0.3">
      <c r="O91" s="86">
        <f>(AA73*S$82)+(AB73*S$83)+(AC73*S$84)</f>
        <v>1.7453292519057202E-5</v>
      </c>
      <c r="P91" s="87">
        <f>(AA73*T$82)+(AB73*T$83)+(AC73*T$84)</f>
        <v>-1.1268206352266046E-16</v>
      </c>
      <c r="Q91" s="88">
        <f>(AA73*U$82)+(AB73*U$83)+(AC73*U$84)</f>
        <v>0.99999999984769117</v>
      </c>
      <c r="R91" s="16"/>
      <c r="S91" s="16"/>
      <c r="T91" s="16"/>
      <c r="U91" s="16"/>
      <c r="V91" s="16"/>
      <c r="W91" s="18"/>
    </row>
    <row r="92" spans="6:23" x14ac:dyDescent="0.25">
      <c r="V92" s="16"/>
      <c r="W92" s="18"/>
    </row>
    <row r="93" spans="6:23" x14ac:dyDescent="0.25">
      <c r="V93" s="16"/>
      <c r="W93" s="16"/>
    </row>
    <row r="94" spans="6:23" x14ac:dyDescent="0.25">
      <c r="V94" s="16"/>
      <c r="W94" s="16"/>
    </row>
    <row r="95" spans="6:23" x14ac:dyDescent="0.25">
      <c r="V95" s="16"/>
      <c r="W95" s="16"/>
    </row>
    <row r="96" spans="6:23" x14ac:dyDescent="0.25">
      <c r="V96" s="16"/>
      <c r="W96" s="16"/>
    </row>
    <row r="97" spans="22:23" x14ac:dyDescent="0.25">
      <c r="V97" s="16"/>
      <c r="W97" s="16"/>
    </row>
    <row r="98" spans="22:23" x14ac:dyDescent="0.25">
      <c r="V98" s="16"/>
      <c r="W98" s="16"/>
    </row>
    <row r="99" spans="22:23" x14ac:dyDescent="0.25">
      <c r="V99" s="16"/>
      <c r="W99" s="16"/>
    </row>
    <row r="100" spans="22:23" x14ac:dyDescent="0.25">
      <c r="V100" s="16"/>
      <c r="W100" s="16"/>
    </row>
    <row r="101" spans="22:23" x14ac:dyDescent="0.25">
      <c r="V101" s="16"/>
      <c r="W101" s="16"/>
    </row>
    <row r="102" spans="22:23" x14ac:dyDescent="0.25">
      <c r="V102" s="16"/>
      <c r="W102" s="16"/>
    </row>
    <row r="103" spans="22:23" x14ac:dyDescent="0.25">
      <c r="V103" s="16"/>
      <c r="W103" s="16"/>
    </row>
    <row r="104" spans="22:23" x14ac:dyDescent="0.25">
      <c r="V104" s="16"/>
      <c r="W104" s="16"/>
    </row>
    <row r="105" spans="22:23" x14ac:dyDescent="0.25">
      <c r="V105" s="16"/>
      <c r="W105" s="16"/>
    </row>
    <row r="106" spans="22:23" x14ac:dyDescent="0.25">
      <c r="V106" s="16"/>
      <c r="W106" s="18"/>
    </row>
    <row r="107" spans="22:23" x14ac:dyDescent="0.25">
      <c r="V107" s="16"/>
      <c r="W107" s="18"/>
    </row>
    <row r="108" spans="22:23" x14ac:dyDescent="0.25">
      <c r="V108" s="16"/>
      <c r="W108" s="18"/>
    </row>
    <row r="109" spans="22:23" x14ac:dyDescent="0.25">
      <c r="V109" s="16"/>
      <c r="W109" s="16"/>
    </row>
    <row r="110" spans="22:23" x14ac:dyDescent="0.25">
      <c r="V110" s="16"/>
      <c r="W110" s="16"/>
    </row>
    <row r="111" spans="22:23" x14ac:dyDescent="0.25">
      <c r="V111" s="16"/>
      <c r="W111" s="16"/>
    </row>
    <row r="112" spans="22:23" x14ac:dyDescent="0.25">
      <c r="V112" s="16"/>
      <c r="W112" s="16"/>
    </row>
    <row r="113" spans="20:23" x14ac:dyDescent="0.25">
      <c r="V113" s="16"/>
      <c r="W113" s="16"/>
    </row>
    <row r="114" spans="20:23" x14ac:dyDescent="0.25">
      <c r="V114" s="16"/>
      <c r="W114" s="16"/>
    </row>
    <row r="115" spans="20:23" x14ac:dyDescent="0.25">
      <c r="V115" s="16"/>
      <c r="W115" s="16"/>
    </row>
    <row r="116" spans="20:23" x14ac:dyDescent="0.25">
      <c r="V116" s="16"/>
      <c r="W116" s="16"/>
    </row>
    <row r="117" spans="20:23" x14ac:dyDescent="0.25">
      <c r="V117" s="16"/>
      <c r="W117" s="16"/>
    </row>
    <row r="118" spans="20:23" x14ac:dyDescent="0.25">
      <c r="V118" s="16"/>
      <c r="W118" s="16"/>
    </row>
    <row r="119" spans="20:23" x14ac:dyDescent="0.25">
      <c r="V119" s="16"/>
      <c r="W119" s="16"/>
    </row>
    <row r="120" spans="20:23" x14ac:dyDescent="0.25">
      <c r="V120" s="16"/>
      <c r="W120" s="16"/>
    </row>
    <row r="121" spans="20:23" x14ac:dyDescent="0.25">
      <c r="V121" s="16"/>
      <c r="W121" s="16"/>
    </row>
    <row r="122" spans="20:23" x14ac:dyDescent="0.25">
      <c r="V122" s="16"/>
      <c r="W122" s="16"/>
    </row>
    <row r="123" spans="20:23" x14ac:dyDescent="0.25">
      <c r="T123" s="16"/>
      <c r="U123" s="16"/>
      <c r="V123" s="16"/>
      <c r="W123" s="16"/>
    </row>
    <row r="124" spans="20:23" x14ac:dyDescent="0.25">
      <c r="T124" s="16"/>
      <c r="U124" s="16"/>
      <c r="V124" s="16"/>
      <c r="W124" s="16"/>
    </row>
    <row r="125" spans="20:23" x14ac:dyDescent="0.25">
      <c r="T125" s="16"/>
      <c r="U125" s="16"/>
      <c r="V125" s="16"/>
      <c r="W125" s="16"/>
    </row>
    <row r="126" spans="20:23" x14ac:dyDescent="0.25">
      <c r="T126" s="16"/>
      <c r="U126" s="16"/>
      <c r="V126" s="16"/>
      <c r="W126" s="16"/>
    </row>
    <row r="127" spans="20:23" x14ac:dyDescent="0.25">
      <c r="T127" s="16"/>
      <c r="U127" s="16"/>
      <c r="V127" s="16"/>
      <c r="W127" s="16"/>
    </row>
    <row r="128" spans="20:23" x14ac:dyDescent="0.25">
      <c r="T128" s="16"/>
      <c r="U128" s="16"/>
      <c r="V128" s="16"/>
      <c r="W128" s="16"/>
    </row>
    <row r="129" spans="15:23" x14ac:dyDescent="0.25">
      <c r="T129" s="16"/>
      <c r="U129" s="16"/>
      <c r="V129" s="16"/>
      <c r="W129" s="16"/>
    </row>
    <row r="130" spans="15:23" x14ac:dyDescent="0.25">
      <c r="T130" s="16"/>
      <c r="U130" s="16"/>
      <c r="V130" s="16"/>
      <c r="W130" s="16"/>
    </row>
    <row r="131" spans="15:23" x14ac:dyDescent="0.25">
      <c r="T131" s="16"/>
      <c r="U131" s="16"/>
      <c r="V131" s="16"/>
      <c r="W131" s="16"/>
    </row>
    <row r="132" spans="15:23" x14ac:dyDescent="0.25">
      <c r="T132" s="16"/>
      <c r="U132" s="16"/>
      <c r="V132" s="16"/>
      <c r="W132" s="16"/>
    </row>
    <row r="133" spans="15:23" x14ac:dyDescent="0.25">
      <c r="T133" s="16"/>
      <c r="U133" s="16"/>
      <c r="V133" s="16"/>
      <c r="W133" s="16"/>
    </row>
    <row r="134" spans="15:23" x14ac:dyDescent="0.25">
      <c r="T134" s="16"/>
      <c r="U134" s="16"/>
      <c r="V134" s="16"/>
      <c r="W134" s="16"/>
    </row>
    <row r="135" spans="15:23" x14ac:dyDescent="0.25">
      <c r="T135" s="16"/>
      <c r="U135" s="16"/>
      <c r="V135" s="16"/>
      <c r="W135" s="16"/>
    </row>
    <row r="136" spans="15:23" x14ac:dyDescent="0.25">
      <c r="T136" s="16"/>
      <c r="U136" s="16"/>
      <c r="V136" s="16"/>
      <c r="W136" s="16"/>
    </row>
    <row r="137" spans="15:23" x14ac:dyDescent="0.25">
      <c r="T137" s="16"/>
      <c r="U137" s="16"/>
      <c r="V137" s="16"/>
      <c r="W137" s="16"/>
    </row>
    <row r="138" spans="15:23" x14ac:dyDescent="0.25">
      <c r="T138" s="16"/>
      <c r="U138" s="16"/>
      <c r="V138" s="16"/>
      <c r="W138" s="16"/>
    </row>
    <row r="139" spans="15:23" x14ac:dyDescent="0.25">
      <c r="T139" s="16"/>
      <c r="U139" s="16"/>
      <c r="V139" s="16"/>
      <c r="W139" s="16"/>
    </row>
    <row r="140" spans="15:23" x14ac:dyDescent="0.25">
      <c r="O140" s="16"/>
      <c r="P140" s="16"/>
      <c r="Q140" s="16"/>
      <c r="R140" s="16"/>
      <c r="S140" s="16"/>
      <c r="T140" s="16"/>
      <c r="U140" s="16"/>
      <c r="V140" s="16"/>
      <c r="W140" s="16"/>
    </row>
    <row r="141" spans="15:23" x14ac:dyDescent="0.25">
      <c r="O141" s="16"/>
      <c r="P141" s="16"/>
      <c r="Q141" s="16"/>
      <c r="R141" s="16"/>
      <c r="S141" s="16"/>
      <c r="T141" s="16"/>
      <c r="U141" s="16"/>
      <c r="V141" s="16"/>
      <c r="W141" s="16"/>
    </row>
    <row r="142" spans="15:23" x14ac:dyDescent="0.25">
      <c r="O142" s="16"/>
      <c r="P142" s="16"/>
      <c r="Q142" s="16"/>
      <c r="R142" s="16"/>
      <c r="S142" s="16"/>
      <c r="T142" s="16"/>
      <c r="U142" s="16"/>
      <c r="V142" s="16"/>
      <c r="W142" s="16"/>
    </row>
    <row r="143" spans="15:23" x14ac:dyDescent="0.25">
      <c r="O143" s="16"/>
      <c r="P143" s="16"/>
      <c r="Q143" s="16"/>
      <c r="R143" s="16"/>
      <c r="S143" s="16"/>
      <c r="T143" s="16"/>
      <c r="U143" s="16"/>
      <c r="V143" s="16"/>
      <c r="W143" s="16"/>
    </row>
    <row r="144" spans="15:23" x14ac:dyDescent="0.25">
      <c r="O144" s="16"/>
      <c r="P144" s="16"/>
      <c r="Q144" s="16"/>
      <c r="R144" s="16"/>
      <c r="S144" s="16"/>
      <c r="T144" s="16"/>
      <c r="U144" s="16"/>
      <c r="V144" s="16"/>
      <c r="W144" s="16"/>
    </row>
    <row r="145" spans="15:23" x14ac:dyDescent="0.25">
      <c r="O145" s="16"/>
      <c r="P145" s="16"/>
      <c r="Q145" s="16"/>
      <c r="R145" s="16"/>
      <c r="S145" s="16"/>
      <c r="T145" s="16"/>
      <c r="U145" s="16"/>
      <c r="V145" s="16"/>
      <c r="W145" s="16"/>
    </row>
    <row r="146" spans="15:23" x14ac:dyDescent="0.25">
      <c r="O146" s="16"/>
      <c r="P146" s="16"/>
      <c r="Q146" s="16"/>
      <c r="R146" s="16"/>
      <c r="S146" s="16"/>
      <c r="T146" s="16"/>
      <c r="U146" s="16"/>
      <c r="V146" s="16"/>
      <c r="W146" s="16"/>
    </row>
    <row r="147" spans="15:23" x14ac:dyDescent="0.25">
      <c r="O147" s="16"/>
      <c r="P147" s="16"/>
      <c r="Q147" s="16"/>
      <c r="R147" s="16"/>
      <c r="S147" s="16"/>
      <c r="T147" s="16"/>
      <c r="U147" s="16"/>
      <c r="V147" s="16"/>
      <c r="W147" s="16"/>
    </row>
    <row r="148" spans="15:23" x14ac:dyDescent="0.25">
      <c r="O148" s="16"/>
      <c r="P148" s="16"/>
      <c r="Q148" s="16"/>
      <c r="R148" s="16"/>
      <c r="S148" s="16"/>
      <c r="T148" s="16"/>
      <c r="U148" s="16"/>
      <c r="V148" s="16"/>
      <c r="W148" s="16"/>
    </row>
  </sheetData>
  <hyperlinks>
    <hyperlink ref="Y4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EST">
                <anchor moveWithCells="1" sizeWithCells="1">
                  <from>
                    <xdr:col>12</xdr:col>
                    <xdr:colOff>352425</xdr:colOff>
                    <xdr:row>9</xdr:row>
                    <xdr:rowOff>142875</xdr:rowOff>
                  </from>
                  <to>
                    <xdr:col>13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PCC Structurals,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Annin</dc:creator>
  <cp:lastModifiedBy>Laptop</cp:lastModifiedBy>
  <dcterms:created xsi:type="dcterms:W3CDTF">2016-12-01T18:45:41Z</dcterms:created>
  <dcterms:modified xsi:type="dcterms:W3CDTF">2017-05-29T00:24:52Z</dcterms:modified>
</cp:coreProperties>
</file>