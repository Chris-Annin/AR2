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B1203076-2D4D-A25B-A398-973B695A806A}"/>
  <workbookPr codeName="ThisWorkbook" defaultThemeVersion="124226"/>
  <bookViews>
    <workbookView xWindow="120" yWindow="60" windowWidth="2040" windowHeight="117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A62" i="1" l="1"/>
  <c r="C4" i="1" l="1"/>
  <c r="Q38" i="1" l="1"/>
  <c r="Q44" i="1"/>
  <c r="Q50" i="1"/>
  <c r="X60" i="1" l="1"/>
  <c r="Y60" i="1"/>
  <c r="N30" i="1" l="1"/>
  <c r="O30" i="1"/>
  <c r="P30" i="1"/>
  <c r="Q30" i="1"/>
  <c r="N31" i="1"/>
  <c r="O31" i="1"/>
  <c r="P31" i="1"/>
  <c r="Q31" i="1"/>
  <c r="N32" i="1"/>
  <c r="O32" i="1"/>
  <c r="P32" i="1"/>
  <c r="Q32" i="1"/>
  <c r="AA43" i="1"/>
  <c r="AA44" i="1"/>
  <c r="AA42" i="1"/>
  <c r="Z44" i="1"/>
  <c r="Z50" i="1" s="1"/>
  <c r="Z43" i="1"/>
  <c r="Z42" i="1"/>
  <c r="Y44" i="1"/>
  <c r="Y43" i="1"/>
  <c r="Y42" i="1"/>
  <c r="X44" i="1"/>
  <c r="X43" i="1"/>
  <c r="X42" i="1"/>
  <c r="X48" i="1" l="1"/>
  <c r="Z48" i="1"/>
  <c r="Y50" i="1"/>
  <c r="Y49" i="1"/>
  <c r="Y48" i="1"/>
  <c r="X49" i="1"/>
  <c r="X50" i="1"/>
  <c r="AA50" i="1" s="1"/>
  <c r="Z49" i="1"/>
  <c r="E63" i="1"/>
  <c r="E64" i="1"/>
  <c r="E65" i="1"/>
  <c r="AA49" i="1" l="1"/>
  <c r="AA48" i="1"/>
  <c r="B65" i="1" l="1"/>
  <c r="D64" i="1"/>
  <c r="C64" i="1"/>
  <c r="B64" i="1"/>
  <c r="D63" i="1"/>
  <c r="C63" i="1"/>
  <c r="B63" i="1"/>
  <c r="D65" i="1"/>
  <c r="C65" i="1"/>
  <c r="D23" i="1"/>
  <c r="C23" i="1"/>
  <c r="D22" i="1"/>
  <c r="C22" i="1"/>
  <c r="D21" i="1"/>
  <c r="C21" i="1"/>
  <c r="B22" i="1"/>
  <c r="B21" i="1"/>
  <c r="B23" i="1"/>
  <c r="E23" i="1" l="1"/>
  <c r="E22" i="1"/>
  <c r="E21" i="1"/>
  <c r="D13" i="1" l="1"/>
  <c r="D16" i="1"/>
  <c r="D17" i="1"/>
  <c r="D15" i="1"/>
  <c r="O50" i="1" l="1"/>
  <c r="P50" i="1"/>
  <c r="O38" i="1"/>
  <c r="P38" i="1"/>
  <c r="C9" i="1"/>
  <c r="C6" i="1"/>
  <c r="C7" i="1"/>
  <c r="D18" i="1" l="1"/>
  <c r="D14" i="1"/>
  <c r="C16" i="1"/>
  <c r="C5" i="1"/>
  <c r="C14" i="1" s="1"/>
  <c r="B33" i="1" s="1"/>
  <c r="C15" i="1"/>
  <c r="C8" i="1"/>
  <c r="C17" i="1" s="1"/>
  <c r="C18" i="1"/>
  <c r="O44" i="1" l="1"/>
  <c r="P44" i="1"/>
  <c r="X61" i="1"/>
  <c r="Y61" i="1"/>
  <c r="Z61" i="1"/>
  <c r="X62" i="1"/>
  <c r="Y62" i="1"/>
  <c r="Z62" i="1"/>
  <c r="D58" i="1"/>
  <c r="C45" i="1"/>
  <c r="B45" i="1"/>
  <c r="E52" i="1"/>
  <c r="E51" i="1"/>
  <c r="D29" i="1"/>
  <c r="E29" i="1"/>
  <c r="C33" i="1"/>
  <c r="E47" i="1"/>
  <c r="E59" i="1" l="1"/>
  <c r="E58" i="1"/>
  <c r="E57" i="1"/>
  <c r="D59" i="1"/>
  <c r="B57" i="1"/>
  <c r="D57" i="1"/>
  <c r="C59" i="1"/>
  <c r="C58" i="1"/>
  <c r="C57" i="1"/>
  <c r="B58" i="1"/>
  <c r="E53" i="1"/>
  <c r="D53" i="1"/>
  <c r="D52" i="1"/>
  <c r="D51" i="1"/>
  <c r="C53" i="1"/>
  <c r="C52" i="1"/>
  <c r="C51" i="1"/>
  <c r="B52" i="1"/>
  <c r="B51" i="1"/>
  <c r="E46" i="1"/>
  <c r="E45" i="1"/>
  <c r="D47" i="1"/>
  <c r="D46" i="1"/>
  <c r="D45" i="1"/>
  <c r="C47" i="1"/>
  <c r="C46" i="1"/>
  <c r="B46" i="1"/>
  <c r="E41" i="1" l="1"/>
  <c r="E40" i="1"/>
  <c r="E39" i="1"/>
  <c r="D41" i="1"/>
  <c r="D40" i="1"/>
  <c r="D39" i="1"/>
  <c r="C41" i="1"/>
  <c r="C40" i="1"/>
  <c r="C39" i="1"/>
  <c r="B40" i="1"/>
  <c r="B39" i="1"/>
  <c r="E35" i="1"/>
  <c r="E34" i="1"/>
  <c r="E33" i="1"/>
  <c r="D35" i="1"/>
  <c r="D34" i="1"/>
  <c r="D33" i="1"/>
  <c r="C35" i="1"/>
  <c r="C34" i="1"/>
  <c r="B34" i="1"/>
  <c r="C29" i="1"/>
  <c r="C13" i="1"/>
  <c r="D28" i="1" l="1"/>
  <c r="C27" i="1"/>
  <c r="D27" i="1"/>
  <c r="E27" i="1"/>
  <c r="B28" i="1"/>
  <c r="C28" i="1"/>
  <c r="B27" i="1"/>
  <c r="E28" i="1"/>
  <c r="G27" i="1" l="1"/>
  <c r="G26" i="1"/>
  <c r="G25" i="1"/>
  <c r="G24" i="1"/>
  <c r="I26" i="1"/>
  <c r="I27" i="1"/>
  <c r="I24" i="1"/>
  <c r="I25" i="1"/>
  <c r="H25" i="1"/>
  <c r="H27" i="1"/>
  <c r="H26" i="1"/>
  <c r="H24" i="1"/>
  <c r="J26" i="1"/>
  <c r="J27" i="1"/>
  <c r="J25" i="1"/>
  <c r="J24" i="1"/>
  <c r="I33" i="1" l="1"/>
  <c r="H33" i="1"/>
  <c r="G33" i="1"/>
  <c r="J33" i="1"/>
  <c r="J30" i="1"/>
  <c r="G30" i="1"/>
  <c r="H30" i="1"/>
  <c r="I30" i="1"/>
  <c r="J31" i="1"/>
  <c r="I31" i="1"/>
  <c r="G31" i="1"/>
  <c r="H31" i="1"/>
  <c r="H32" i="1"/>
  <c r="G32" i="1"/>
  <c r="J32" i="1"/>
  <c r="I32" i="1"/>
  <c r="I37" i="1" l="1"/>
  <c r="G37" i="1"/>
  <c r="J37" i="1"/>
  <c r="H37" i="1"/>
  <c r="H39" i="1"/>
  <c r="J39" i="1"/>
  <c r="I39" i="1"/>
  <c r="G39" i="1"/>
  <c r="G38" i="1"/>
  <c r="J38" i="1"/>
  <c r="I38" i="1"/>
  <c r="H38" i="1"/>
  <c r="H36" i="1"/>
  <c r="J36" i="1"/>
  <c r="I36" i="1"/>
  <c r="G36" i="1"/>
  <c r="J43" i="1" l="1"/>
  <c r="G43" i="1"/>
  <c r="I43" i="1"/>
  <c r="H43" i="1"/>
  <c r="J44" i="1"/>
  <c r="H44" i="1"/>
  <c r="G44" i="1"/>
  <c r="I44" i="1"/>
  <c r="I42" i="1"/>
  <c r="G42" i="1"/>
  <c r="H42" i="1"/>
  <c r="J42" i="1"/>
  <c r="I45" i="1"/>
  <c r="G45" i="1"/>
  <c r="J45" i="1"/>
  <c r="H45" i="1"/>
  <c r="G48" i="1" l="1"/>
  <c r="H48" i="1"/>
  <c r="I48" i="1"/>
  <c r="J48" i="1"/>
  <c r="H50" i="1"/>
  <c r="G50" i="1"/>
  <c r="J50" i="1"/>
  <c r="I50" i="1"/>
  <c r="H49" i="1"/>
  <c r="I49" i="1"/>
  <c r="J49" i="1"/>
  <c r="G49" i="1"/>
  <c r="J51" i="1"/>
  <c r="G51" i="1"/>
  <c r="H51" i="1"/>
  <c r="I51" i="1"/>
  <c r="I57" i="1" l="1"/>
  <c r="J57" i="1"/>
  <c r="G57" i="1"/>
  <c r="H57" i="1"/>
  <c r="J56" i="1"/>
  <c r="G56" i="1"/>
  <c r="H56" i="1"/>
  <c r="I56" i="1"/>
  <c r="J55" i="1"/>
  <c r="G55" i="1"/>
  <c r="I55" i="1"/>
  <c r="H55" i="1"/>
  <c r="H54" i="1"/>
  <c r="J54" i="1"/>
  <c r="I54" i="1"/>
  <c r="G54" i="1"/>
  <c r="G62" i="1" l="1"/>
  <c r="H62" i="1"/>
  <c r="J62" i="1"/>
  <c r="H6" i="1" s="1"/>
  <c r="I62" i="1"/>
  <c r="H60" i="1"/>
  <c r="I60" i="1"/>
  <c r="G60" i="1"/>
  <c r="J60" i="1"/>
  <c r="G63" i="1"/>
  <c r="H63" i="1"/>
  <c r="J63" i="1"/>
  <c r="I63" i="1"/>
  <c r="G61" i="1"/>
  <c r="J61" i="1"/>
  <c r="H5" i="1" s="1"/>
  <c r="I61" i="1"/>
  <c r="H61" i="1"/>
  <c r="H4" i="1" l="1"/>
  <c r="O4" i="1" s="1"/>
  <c r="AA30" i="1" s="1"/>
  <c r="O5" i="1"/>
  <c r="I8" i="1"/>
  <c r="I7" i="1" s="1"/>
  <c r="O6" i="1"/>
  <c r="V9" i="1" l="1"/>
  <c r="AA32" i="1"/>
  <c r="AA31" i="1"/>
  <c r="I9" i="1"/>
  <c r="H9" i="1" s="1"/>
  <c r="O9" i="1" s="1"/>
  <c r="H8" i="1"/>
  <c r="O8" i="1" s="1"/>
  <c r="H7" i="1"/>
  <c r="O7" i="1" s="1"/>
  <c r="AA37" i="1" l="1"/>
  <c r="AA36" i="1"/>
  <c r="AA39" i="1"/>
  <c r="AA38" i="1"/>
  <c r="X30" i="1"/>
  <c r="X31" i="1"/>
  <c r="Y32" i="1"/>
  <c r="Z30" i="1"/>
  <c r="Z32" i="1"/>
  <c r="Y30" i="1"/>
  <c r="Z31" i="1"/>
  <c r="X32" i="1"/>
  <c r="Y31" i="1"/>
  <c r="X36" i="1" l="1"/>
  <c r="Y39" i="1" l="1"/>
  <c r="X38" i="1"/>
  <c r="X39" i="1"/>
  <c r="X37" i="1"/>
  <c r="Y38" i="1"/>
  <c r="Y36" i="1"/>
  <c r="Z38" i="1"/>
  <c r="Z39" i="1"/>
  <c r="Z36" i="1"/>
  <c r="Z37" i="1"/>
  <c r="Y37" i="1"/>
  <c r="AA56" i="1" l="1"/>
  <c r="Z56" i="1"/>
  <c r="Y56" i="1"/>
  <c r="X56" i="1"/>
  <c r="AA54" i="1"/>
  <c r="Z54" i="1"/>
  <c r="Y54" i="1"/>
  <c r="X54" i="1"/>
  <c r="AA57" i="1"/>
  <c r="Z57" i="1"/>
  <c r="Y57" i="1"/>
  <c r="X57" i="1"/>
  <c r="AA55" i="1"/>
  <c r="X55" i="1"/>
  <c r="Z55" i="1"/>
  <c r="Y55" i="1"/>
  <c r="X67" i="1" l="1"/>
  <c r="X68" i="1"/>
  <c r="AA67" i="1"/>
  <c r="AA66" i="1"/>
  <c r="AA68" i="1"/>
  <c r="X66" i="1"/>
  <c r="Y69" i="1"/>
  <c r="X69" i="1"/>
  <c r="AA69" i="1"/>
  <c r="Z69" i="1"/>
  <c r="Y67" i="1"/>
  <c r="Y68" i="1"/>
  <c r="Y66" i="1"/>
  <c r="Z67" i="1"/>
  <c r="Z68" i="1"/>
  <c r="Z66" i="1"/>
  <c r="O13" i="1" l="1"/>
  <c r="P13" i="1" s="1"/>
  <c r="Q4" i="1" s="1"/>
  <c r="O19" i="1"/>
  <c r="O18" i="1"/>
  <c r="P37" i="1" l="1"/>
  <c r="Q36" i="1"/>
  <c r="Q37" i="1"/>
  <c r="N36" i="1"/>
  <c r="P36" i="1"/>
  <c r="O36" i="1"/>
  <c r="N37" i="1"/>
  <c r="O37" i="1"/>
  <c r="Q20" i="1"/>
  <c r="Q21" i="1" s="1"/>
  <c r="Q22" i="1" s="1"/>
  <c r="O20" i="1"/>
  <c r="S35" i="1" l="1"/>
  <c r="S36" i="1"/>
  <c r="S34" i="1"/>
  <c r="S33" i="1"/>
  <c r="U35" i="1"/>
  <c r="U34" i="1"/>
  <c r="U36" i="1"/>
  <c r="U33" i="1"/>
  <c r="V33" i="1"/>
  <c r="V36" i="1"/>
  <c r="V34" i="1"/>
  <c r="V35" i="1"/>
  <c r="T35" i="1"/>
  <c r="T34" i="1"/>
  <c r="T36" i="1"/>
  <c r="T33" i="1"/>
  <c r="Q23" i="1"/>
  <c r="Q26" i="1" s="1"/>
  <c r="P20" i="1"/>
  <c r="Q24" i="1"/>
  <c r="Q27" i="1" s="1"/>
  <c r="O21" i="1"/>
  <c r="O24" i="1" s="1"/>
  <c r="O22" i="1"/>
  <c r="P23" i="1" l="1"/>
  <c r="O23" i="1"/>
  <c r="O26" i="1" s="1"/>
  <c r="O27" i="1"/>
  <c r="P21" i="1"/>
  <c r="P24" i="1" l="1"/>
  <c r="P27" i="1" s="1"/>
  <c r="Q6" i="1" s="1"/>
  <c r="P22" i="1"/>
  <c r="P25" i="1" s="1"/>
  <c r="P26" i="1" s="1"/>
  <c r="Q5" i="1" s="1"/>
  <c r="O42" i="1" l="1"/>
  <c r="P42" i="1"/>
  <c r="P43" i="1"/>
  <c r="Q43" i="1"/>
  <c r="N42" i="1"/>
  <c r="Q42" i="1"/>
  <c r="N43" i="1"/>
  <c r="O43" i="1"/>
  <c r="P48" i="1"/>
  <c r="Q48" i="1"/>
  <c r="N49" i="1"/>
  <c r="O49" i="1"/>
  <c r="P49" i="1"/>
  <c r="Q49" i="1"/>
  <c r="N48" i="1"/>
  <c r="O48" i="1"/>
  <c r="U41" i="1" l="1"/>
  <c r="U40" i="1"/>
  <c r="U39" i="1"/>
  <c r="U42" i="1"/>
  <c r="S41" i="1"/>
  <c r="S42" i="1"/>
  <c r="S39" i="1"/>
  <c r="S40" i="1"/>
  <c r="T41" i="1"/>
  <c r="T42" i="1"/>
  <c r="T39" i="1"/>
  <c r="T40" i="1"/>
  <c r="V41" i="1"/>
  <c r="V42" i="1"/>
  <c r="V40" i="1"/>
  <c r="V39" i="1"/>
  <c r="U45" i="1" l="1"/>
  <c r="S45" i="1"/>
  <c r="T45" i="1"/>
  <c r="V45" i="1"/>
  <c r="V46" i="1"/>
  <c r="U46" i="1"/>
  <c r="S46" i="1"/>
  <c r="T46" i="1"/>
  <c r="S47" i="1"/>
  <c r="U47" i="1"/>
  <c r="V47" i="1"/>
  <c r="T47" i="1"/>
  <c r="V48" i="1"/>
  <c r="U48" i="1"/>
  <c r="T48" i="1"/>
  <c r="S48" i="1"/>
  <c r="T51" i="1" l="1"/>
  <c r="T52" i="1"/>
  <c r="T53" i="1"/>
  <c r="U53" i="1"/>
  <c r="S52" i="1"/>
  <c r="U51" i="1"/>
  <c r="S51" i="1"/>
  <c r="U52" i="1"/>
  <c r="S53" i="1"/>
  <c r="Z74" i="1" l="1"/>
  <c r="R8" i="1" s="1"/>
  <c r="Z73" i="1"/>
  <c r="X73" i="1"/>
  <c r="Y74" i="1"/>
  <c r="Y72" i="1"/>
  <c r="Z72" i="1"/>
  <c r="X72" i="1"/>
  <c r="X74" i="1"/>
  <c r="Y73" i="1"/>
  <c r="S7" i="1" l="1"/>
  <c r="S8" i="1"/>
  <c r="S9" i="1"/>
  <c r="R9" i="1"/>
  <c r="R7" i="1"/>
  <c r="Q8" i="1" l="1"/>
  <c r="Q9" i="1" s="1"/>
  <c r="Q7" i="1" l="1"/>
</calcChain>
</file>

<file path=xl/sharedStrings.xml><?xml version="1.0" encoding="utf-8"?>
<sst xmlns="http://schemas.openxmlformats.org/spreadsheetml/2006/main" count="104" uniqueCount="66">
  <si>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</si>
  <si>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</si>
  <si>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</si>
  <si>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</si>
  <si>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</si>
  <si>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</si>
  <si>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</si>
  <si>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</si>
  <si>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</si>
  <si>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</si>
  <si>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</si>
  <si>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</si>
  <si>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y</t>
  </si>
  <si>
    <t>FORWARD KINAMATICS</t>
  </si>
  <si>
    <t>IN</t>
  </si>
  <si>
    <t>OUT</t>
  </si>
  <si>
    <t xml:space="preserve">IN </t>
  </si>
  <si>
    <t>roll (z)</t>
  </si>
  <si>
    <t>pitch (y)</t>
  </si>
  <si>
    <t>yaw (x)</t>
  </si>
  <si>
    <t>WORK FRAME</t>
  </si>
  <si>
    <t>TOOL FRAME</t>
  </si>
  <si>
    <t>X</t>
  </si>
  <si>
    <t>Y</t>
  </si>
  <si>
    <t>Z</t>
  </si>
  <si>
    <t>DH params</t>
  </si>
  <si>
    <t>R 0-1</t>
  </si>
  <si>
    <t>R 0-2</t>
  </si>
  <si>
    <t>R 0-3</t>
  </si>
  <si>
    <t>R 0-4</t>
  </si>
  <si>
    <t>R 0-6</t>
  </si>
  <si>
    <t>R 0-T</t>
  </si>
  <si>
    <t>Θ</t>
  </si>
  <si>
    <t>α</t>
  </si>
  <si>
    <t>p</t>
  </si>
  <si>
    <t>r</t>
  </si>
  <si>
    <t>INVERT TOOL FRAME</t>
  </si>
  <si>
    <t>REMOVE R 0-6</t>
  </si>
  <si>
    <t>R 0-5    (center spherica wrist)</t>
  </si>
  <si>
    <t>R 0-T   offset by work frame</t>
  </si>
  <si>
    <t>pX</t>
  </si>
  <si>
    <t>pY</t>
  </si>
  <si>
    <t>pX-a1</t>
  </si>
  <si>
    <t>paH</t>
  </si>
  <si>
    <t>ΘA</t>
  </si>
  <si>
    <t>ΘB</t>
  </si>
  <si>
    <t>J2 ∠</t>
  </si>
  <si>
    <t>FWD</t>
  </si>
  <si>
    <t>MID</t>
  </si>
  <si>
    <t>ΘC</t>
  </si>
  <si>
    <t>same</t>
  </si>
  <si>
    <t>ΘD</t>
  </si>
  <si>
    <t>na</t>
  </si>
  <si>
    <t>J3 ∠</t>
  </si>
  <si>
    <t>BACK</t>
  </si>
  <si>
    <t>QUADRANT</t>
  </si>
  <si>
    <t>J1 ∠</t>
  </si>
  <si>
    <t>CALCULATE J1 ANGLE</t>
  </si>
  <si>
    <r>
      <rPr>
        <b/>
        <u/>
        <sz val="11"/>
        <color theme="1"/>
        <rFont val="Calibri"/>
        <family val="2"/>
        <scheme val="minor"/>
      </rPr>
      <t>CALCULATE J2 AND J3 ANGLE</t>
    </r>
    <r>
      <rPr>
        <sz val="11"/>
        <color theme="1"/>
        <rFont val="Calibri"/>
        <family val="2"/>
        <scheme val="minor"/>
      </rPr>
      <t xml:space="preserve"> ( </t>
    </r>
    <r>
      <rPr>
        <i/>
        <sz val="11"/>
        <color theme="1"/>
        <rFont val="Calibri"/>
        <family val="2"/>
        <scheme val="minor"/>
      </rPr>
      <t xml:space="preserve">note that arm back config is shown but not used and elbow back is not shown or used - to flip robot back past center line would require arm confuration paramaters be attached to each move command </t>
    </r>
    <r>
      <rPr>
        <sz val="11"/>
        <color theme="1"/>
        <rFont val="Calibri"/>
        <family val="2"/>
        <scheme val="minor"/>
      </rPr>
      <t>)</t>
    </r>
  </si>
  <si>
    <t>R 0-3 transposed</t>
  </si>
  <si>
    <t>R 3-6 (spherical wrist  orietation)</t>
  </si>
  <si>
    <t>J1  *  ( -170 / 170 )</t>
  </si>
  <si>
    <t>J2 * ( -132  /  0 )</t>
  </si>
  <si>
    <t>J3 * ( 1  / 140 )</t>
  </si>
  <si>
    <t>WRIST CONF.</t>
  </si>
  <si>
    <t>"F"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</si>
</sst>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0" xfId="0" applyAlignment="1"/>
    <xf numFmtId="0" fontId="0" fillId="4" borderId="1" xfId="0" applyFill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0" borderId="0" xfId="0" applyFill="1" applyBorder="1" applyAlignment="1">
      <alignment horizontal="center"/>
    </xf>
    <xf numFmtId="0" fontId="0" fillId="8" borderId="1" xfId="0" applyFill="1" applyBorder="1"/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9" borderId="1" xfId="0" applyFill="1" applyBorder="1"/>
    <xf numFmtId="0" fontId="0" fillId="5" borderId="1" xfId="0" applyFill="1" applyBorder="1"/>
    <xf numFmtId="0" fontId="0" fillId="0" borderId="0" xfId="0" applyFill="1" applyBorder="1" applyAlignment="1">
      <alignment wrapText="1"/>
    </xf>
    <xf numFmtId="0" fontId="0" fillId="10" borderId="1" xfId="0" applyFill="1" applyBorder="1"/>
    <xf numFmtId="0" fontId="6" fillId="10" borderId="3" xfId="0" applyFont="1" applyFill="1" applyBorder="1" applyAlignment="1">
      <alignment horizontal="center"/>
    </xf>
    <xf numFmtId="0" fontId="6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0" fillId="0" borderId="14" xfId="0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0" borderId="0" xfId="0" applyFill="1" applyBorder="1" applyAlignment="1"/>
    <xf numFmtId="0" fontId="0" fillId="0" borderId="0" xfId="0" applyFont="1" applyFill="1" applyBorder="1"/>
    <xf numFmtId="0" fontId="1" fillId="0" borderId="0" xfId="0" applyFont="1" applyFill="1" applyBorder="1"/>
    <xf numFmtId="0" fontId="4" fillId="0" borderId="0" xfId="1" applyFill="1" applyBorder="1"/>
    <xf numFmtId="0" fontId="0" fillId="0" borderId="0" xfId="0" applyFill="1" applyBorder="1" applyAlignment="1">
      <alignment horizontal="center"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8" xfId="0" applyFont="1" applyFill="1" applyBorder="1"/>
    <xf numFmtId="0" fontId="8" fillId="0" borderId="12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9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12" borderId="11" xfId="0" applyFont="1" applyFill="1" applyBorder="1" applyAlignment="1">
      <alignment horizontal="center"/>
    </xf>
    <xf numFmtId="0" fontId="2" fillId="12" borderId="13" xfId="0" applyFont="1" applyFill="1" applyBorder="1" applyAlignment="1">
      <alignment horizontal="center"/>
    </xf>
    <xf numFmtId="0" fontId="2" fillId="12" borderId="13" xfId="0" applyFont="1" applyFill="1" applyBorder="1"/>
    <xf numFmtId="0" fontId="8" fillId="0" borderId="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0" fillId="0" borderId="22" xfId="0" applyFill="1" applyBorder="1"/>
    <xf numFmtId="0" fontId="0" fillId="0" borderId="23" xfId="0" applyFill="1" applyBorder="1"/>
    <xf numFmtId="0" fontId="2" fillId="0" borderId="0" xfId="0" applyFont="1" applyFill="1" applyBorder="1" applyAlignment="1">
      <alignment horizontal="left"/>
    </xf>
    <xf numFmtId="0" fontId="8" fillId="0" borderId="24" xfId="0" applyFont="1" applyFill="1" applyBorder="1" applyAlignment="1">
      <alignment horizontal="center"/>
    </xf>
    <xf numFmtId="0" fontId="2" fillId="0" borderId="25" xfId="0" applyFont="1" applyFill="1" applyBorder="1"/>
    <xf numFmtId="0" fontId="2" fillId="12" borderId="20" xfId="0" applyFont="1" applyFill="1" applyBorder="1"/>
    <xf numFmtId="0" fontId="0" fillId="2" borderId="0" xfId="0" applyFill="1" applyBorder="1"/>
    <xf numFmtId="0" fontId="7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2" borderId="0" xfId="0" applyFill="1" applyBorder="1" applyAlignment="1">
      <alignment horizontal="center"/>
    </xf>
    <xf numFmtId="0" fontId="0" fillId="13" borderId="0" xfId="0" applyFill="1"/>
    <xf numFmtId="0" fontId="3" fillId="13" borderId="0" xfId="0" applyFont="1" applyFill="1"/>
    <xf numFmtId="0" fontId="1" fillId="13" borderId="0" xfId="0" applyFont="1" applyFill="1"/>
    <xf numFmtId="0" fontId="0" fillId="14" borderId="0" xfId="0" applyFill="1" applyAlignment="1">
      <alignment horizontal="center"/>
    </xf>
    <xf numFmtId="0" fontId="0" fillId="14" borderId="0" xfId="0" applyFill="1"/>
    <xf numFmtId="0" fontId="0" fillId="14" borderId="0" xfId="0" applyFill="1" applyBorder="1"/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7D200"/>
      <color rgb="FFFFFF00"/>
      <color rgb="FFD8FFB1"/>
      <color rgb="FFDDEEFF"/>
      <color rgb="FF99CCFF"/>
      <color rgb="FFFFCCFF"/>
      <color rgb="FFFF4B4B"/>
      <color rgb="FFFF99FF"/>
      <color rgb="FFFC4C3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531070</xdr:colOff>
      <xdr:row>53</xdr:row>
      <xdr:rowOff>190499</xdr:rowOff>
    </xdr:from>
    <xdr:to>
      <xdr:col>17</xdr:col>
      <xdr:colOff>596900</xdr:colOff>
      <xdr:row>76</xdr:row>
      <xdr:rowOff>145664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7270" y="10477499"/>
          <a:ext cx="4358430" cy="436206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</xdr:row>
      <xdr:rowOff>152400</xdr:rowOff>
    </xdr:from>
    <xdr:to>
      <xdr:col>5</xdr:col>
      <xdr:colOff>116291</xdr:colOff>
      <xdr:row>6</xdr:row>
      <xdr:rowOff>114299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60725" y="723900"/>
          <a:ext cx="1783166" cy="53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368301</xdr:colOff>
      <xdr:row>68</xdr:row>
      <xdr:rowOff>66826</xdr:rowOff>
    </xdr:from>
    <xdr:to>
      <xdr:col>2</xdr:col>
      <xdr:colOff>396817</xdr:colOff>
      <xdr:row>76</xdr:row>
      <xdr:rowOff>127000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1" y="13236726"/>
          <a:ext cx="2225616" cy="15841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0</xdr:rowOff>
    </xdr:from>
    <xdr:to>
      <xdr:col>5</xdr:col>
      <xdr:colOff>850974</xdr:colOff>
      <xdr:row>6</xdr:row>
      <xdr:rowOff>161948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91000" y="114300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7</xdr:row>
      <xdr:rowOff>0</xdr:rowOff>
    </xdr:from>
    <xdr:to>
      <xdr:col>5</xdr:col>
      <xdr:colOff>838274</xdr:colOff>
      <xdr:row>7</xdr:row>
      <xdr:rowOff>152421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5700" y="133350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8</xdr:row>
      <xdr:rowOff>25400</xdr:rowOff>
    </xdr:from>
    <xdr:to>
      <xdr:col>5</xdr:col>
      <xdr:colOff>838274</xdr:colOff>
      <xdr:row>8</xdr:row>
      <xdr:rowOff>158769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78300" y="154940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21501" y="342900"/>
          <a:ext cx="1676400" cy="753149"/>
        </a:xfrm>
        <a:prstGeom prst="rect">
          <a:avLst/>
        </a:prstGeom>
      </xdr:spPr>
    </xdr:pic>
    <xdr:clientData/>
  </xdr:twoCellAnchor>
  <xdr:twoCellAnchor editAs="oneCell">
    <xdr:from>
      <xdr:col>17</xdr:col>
      <xdr:colOff>520700</xdr:colOff>
      <xdr:row>1</xdr:row>
      <xdr:rowOff>114301</xdr:rowOff>
    </xdr:from>
    <xdr:to>
      <xdr:col>18</xdr:col>
      <xdr:colOff>354822</xdr:colOff>
      <xdr:row>5</xdr:row>
      <xdr:rowOff>114300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03500" y="304801"/>
          <a:ext cx="723122" cy="761999"/>
        </a:xfrm>
        <a:prstGeom prst="rect">
          <a:avLst/>
        </a:prstGeom>
      </xdr:spPr>
    </xdr:pic>
    <xdr:clientData/>
  </xdr:twoCellAnchor>
  <xdr:twoCellAnchor editAs="oneCell">
    <xdr:from>
      <xdr:col>23</xdr:col>
      <xdr:colOff>431801</xdr:colOff>
      <xdr:row>26</xdr:row>
      <xdr:rowOff>76200</xdr:rowOff>
    </xdr:from>
    <xdr:to>
      <xdr:col>26</xdr:col>
      <xdr:colOff>25400</xdr:colOff>
      <xdr:row>28</xdr:row>
      <xdr:rowOff>20331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875501" y="5168900"/>
          <a:ext cx="1968499" cy="350531"/>
        </a:xfrm>
        <a:prstGeom prst="rect">
          <a:avLst/>
        </a:prstGeom>
      </xdr:spPr>
    </xdr:pic>
    <xdr:clientData/>
  </xdr:twoCellAnchor>
  <xdr:twoCellAnchor editAs="oneCell">
    <xdr:from>
      <xdr:col>23</xdr:col>
      <xdr:colOff>241300</xdr:colOff>
      <xdr:row>108</xdr:row>
      <xdr:rowOff>147961</xdr:rowOff>
    </xdr:from>
    <xdr:to>
      <xdr:col>29</xdr:col>
      <xdr:colOff>406400</xdr:colOff>
      <xdr:row>116</xdr:row>
      <xdr:rowOff>127367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BFCFD089-B664-4F3E-B059-FA6C5C18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104100" y="21014061"/>
          <a:ext cx="4635500" cy="1503406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15</xdr:row>
      <xdr:rowOff>199654</xdr:rowOff>
    </xdr:from>
    <xdr:to>
      <xdr:col>22</xdr:col>
      <xdr:colOff>647700</xdr:colOff>
      <xdr:row>27</xdr:row>
      <xdr:rowOff>28901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E8F664E7-704A-4386-BAD1-51FEE7058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163800" y="3146054"/>
          <a:ext cx="4559300" cy="21787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576"/>
  <sheetViews>
    <sheetView tabSelected="1" topLeftCell="Q51" zoomScale="75" zoomScaleNormal="75" workbookViewId="0">
      <selection activeCell="AC69" sqref="AC69"/>
    </sheetView>
  </sheetViews>
  <sheetFormatPr defaultRowHeight="15" x14ac:dyDescent="0.25"/>
  <cols>
    <col min="1" max="1" width="19.140625" style="2" customWidth="1"/>
    <col min="2" max="2" width="13.7109375" customWidth="1"/>
    <col min="3" max="3" width="14.7109375" bestFit="1" customWidth="1"/>
    <col min="4" max="4" width="13.85546875" bestFit="1" customWidth="1"/>
    <col min="5" max="5" width="12.42578125" customWidth="1"/>
    <col min="6" max="6" width="13.85546875" bestFit="1" customWidth="1"/>
    <col min="7" max="7" width="14.85546875" customWidth="1"/>
    <col min="8" max="8" width="13" customWidth="1"/>
    <col min="9" max="9" width="12.28515625" customWidth="1"/>
    <col min="10" max="11" width="11.5703125" customWidth="1"/>
    <col min="12" max="12" width="4.85546875" style="20" customWidth="1"/>
    <col min="13" max="13" width="11" customWidth="1"/>
    <col min="14" max="14" width="12.7109375" customWidth="1"/>
    <col min="15" max="15" width="13.5703125" customWidth="1"/>
    <col min="16" max="16" width="13.42578125" customWidth="1"/>
    <col min="17" max="17" width="13.5703125" customWidth="1"/>
    <col min="18" max="18" width="13.28515625" customWidth="1"/>
    <col min="19" max="19" width="11.85546875" customWidth="1"/>
    <col min="20" max="20" width="10.7109375" customWidth="1"/>
    <col min="21" max="21" width="12.28515625" customWidth="1"/>
    <col min="22" max="22" width="11.5703125" customWidth="1"/>
    <col min="23" max="23" width="11.140625" customWidth="1"/>
    <col min="24" max="24" width="10.7109375" customWidth="1"/>
    <col min="25" max="25" width="10.85546875" customWidth="1"/>
    <col min="26" max="26" width="14" bestFit="1" customWidth="1"/>
    <col min="27" max="27" width="10.42578125" customWidth="1"/>
    <col min="28" max="28" width="9.7109375" customWidth="1"/>
    <col min="29" max="29" width="11.140625" customWidth="1"/>
    <col min="30" max="30" width="12.140625" customWidth="1"/>
    <col min="31" max="31" width="12.5703125" customWidth="1"/>
    <col min="32" max="32" width="16.7109375" customWidth="1"/>
  </cols>
  <sheetData>
    <row r="1" spans="1:39" x14ac:dyDescent="0.25">
      <c r="A1" s="77" t="s">
        <v>13</v>
      </c>
      <c r="B1" s="78"/>
      <c r="C1" s="78"/>
      <c r="D1" s="76"/>
      <c r="E1" s="76"/>
      <c r="F1" s="76"/>
      <c r="G1" s="76"/>
      <c r="H1" s="76"/>
      <c r="I1" s="76"/>
      <c r="J1" s="76"/>
      <c r="K1" s="76"/>
      <c r="M1" s="73"/>
      <c r="N1" s="74" t="s">
        <v>11</v>
      </c>
      <c r="O1" s="73"/>
      <c r="P1" s="73"/>
      <c r="Q1" s="70"/>
      <c r="R1" s="70"/>
      <c r="S1" s="70"/>
      <c r="T1" s="75"/>
      <c r="U1" s="75"/>
      <c r="V1" s="75"/>
      <c r="W1" s="75"/>
      <c r="X1" s="75"/>
      <c r="Y1" s="75"/>
      <c r="Z1" s="75"/>
      <c r="AA1" s="75"/>
      <c r="AB1" s="22"/>
    </row>
    <row r="2" spans="1:39" x14ac:dyDescent="0.25">
      <c r="B2" s="2" t="s">
        <v>14</v>
      </c>
      <c r="H2" s="2" t="s">
        <v>15</v>
      </c>
      <c r="O2" s="2" t="s">
        <v>16</v>
      </c>
      <c r="P2" s="22"/>
      <c r="S2" s="22"/>
      <c r="U2" s="22"/>
      <c r="X2" s="22"/>
      <c r="Y2" s="2"/>
      <c r="Z2" s="2"/>
      <c r="AA2" s="2"/>
      <c r="AB2" s="2"/>
      <c r="AD2" s="22"/>
      <c r="AE2" s="22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B3" t="s">
        <v>9</v>
      </c>
      <c r="C3" t="s">
        <v>10</v>
      </c>
      <c r="E3" s="2"/>
      <c r="F3" s="16"/>
      <c r="Q3" s="15"/>
      <c r="R3" s="15"/>
      <c r="S3" s="15"/>
      <c r="T3" s="15"/>
      <c r="U3" s="15"/>
      <c r="V3" s="15"/>
      <c r="W3" s="15"/>
      <c r="X3" s="15"/>
      <c r="Y3" s="2"/>
      <c r="Z3" s="2"/>
      <c r="AA3" s="2"/>
      <c r="AB3" s="2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x14ac:dyDescent="0.25">
      <c r="A4" s="71" t="s">
        <v>61</v>
      </c>
      <c r="B4" s="27">
        <v>1E-4</v>
      </c>
      <c r="C4" s="2">
        <f>RADIANS(B4)</f>
        <v>1.7453292519943296E-6</v>
      </c>
      <c r="G4" s="38" t="s">
        <v>22</v>
      </c>
      <c r="H4" s="28">
        <f>J60</f>
        <v>68.718142236927719</v>
      </c>
      <c r="M4" s="2"/>
      <c r="N4" s="38" t="s">
        <v>22</v>
      </c>
      <c r="O4" s="27">
        <f t="shared" ref="O4:O9" si="0">H4</f>
        <v>68.718142236927719</v>
      </c>
      <c r="P4" s="38" t="s">
        <v>3</v>
      </c>
      <c r="Q4" s="28">
        <f>P13</f>
        <v>9.9999999961395387E-5</v>
      </c>
      <c r="U4" s="25"/>
      <c r="V4" s="22"/>
      <c r="W4" s="15"/>
      <c r="X4" s="15"/>
      <c r="Y4" s="2"/>
      <c r="Z4" s="2"/>
      <c r="AA4" s="2"/>
      <c r="AB4" s="2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x14ac:dyDescent="0.25">
      <c r="A5" s="71" t="s">
        <v>62</v>
      </c>
      <c r="B5" s="27">
        <v>-90</v>
      </c>
      <c r="C5" s="2">
        <f t="shared" ref="C5:C8" si="1">RADIANS(B5)</f>
        <v>-1.5707963267948966</v>
      </c>
      <c r="G5" s="38" t="s">
        <v>23</v>
      </c>
      <c r="H5" s="28">
        <f>J61</f>
        <v>1.1993578373854105E-4</v>
      </c>
      <c r="M5" s="38"/>
      <c r="N5" s="38" t="s">
        <v>23</v>
      </c>
      <c r="O5" s="27">
        <f t="shared" si="0"/>
        <v>1.1993578373854105E-4</v>
      </c>
      <c r="P5" s="38" t="s">
        <v>4</v>
      </c>
      <c r="Q5" s="28">
        <f>IF(O20&lt;0,P26,O26)</f>
        <v>-90.000000000000369</v>
      </c>
      <c r="U5" s="25"/>
      <c r="V5" s="22"/>
      <c r="W5" s="15"/>
      <c r="X5" s="15"/>
      <c r="Y5" s="2"/>
      <c r="Z5" s="22"/>
      <c r="AA5" s="2"/>
      <c r="AB5" s="2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x14ac:dyDescent="0.25">
      <c r="A6" s="71" t="s">
        <v>63</v>
      </c>
      <c r="B6" s="27">
        <v>1</v>
      </c>
      <c r="C6" s="2">
        <f>RADIANS((B6)-90)</f>
        <v>-1.5533430342749532</v>
      </c>
      <c r="G6" s="38" t="s">
        <v>24</v>
      </c>
      <c r="H6" s="28">
        <f>J62</f>
        <v>733.61057021784927</v>
      </c>
      <c r="M6" s="38"/>
      <c r="N6" s="38" t="s">
        <v>24</v>
      </c>
      <c r="O6" s="27">
        <f t="shared" si="0"/>
        <v>733.61057021784927</v>
      </c>
      <c r="P6" s="38" t="s">
        <v>5</v>
      </c>
      <c r="Q6" s="28">
        <f>IF(O20&lt;0,P27,O27)</f>
        <v>0.99999999999843681</v>
      </c>
      <c r="U6" s="15"/>
      <c r="V6" s="15"/>
      <c r="W6" s="15"/>
      <c r="X6" s="15"/>
      <c r="Y6" s="2"/>
      <c r="Z6" s="22"/>
      <c r="AA6" s="2"/>
      <c r="AB6" s="2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x14ac:dyDescent="0.25">
      <c r="B7" s="27">
        <v>0</v>
      </c>
      <c r="C7" s="2">
        <f>RADIANS(B7)</f>
        <v>0</v>
      </c>
      <c r="G7" s="72" t="s">
        <v>12</v>
      </c>
      <c r="H7" s="28">
        <f>DEGREES(I7)</f>
        <v>-90.000000000000412</v>
      </c>
      <c r="I7" s="2">
        <f>ATAN2((H62/I8),(G62/I8))</f>
        <v>-1.5707963267949037</v>
      </c>
      <c r="M7" s="38"/>
      <c r="N7" s="38" t="s">
        <v>12</v>
      </c>
      <c r="O7" s="27">
        <f t="shared" si="0"/>
        <v>-90.000000000000412</v>
      </c>
      <c r="P7" s="38" t="s">
        <v>6</v>
      </c>
      <c r="Q7" s="28">
        <f>IF(Q8&gt;0,R7,S7)</f>
        <v>-3.1139010772165355E-10</v>
      </c>
      <c r="R7" s="33">
        <f>DEGREES(ATAN2(Z72,Z73))</f>
        <v>-3.1139010772165355E-10</v>
      </c>
      <c r="S7" s="33">
        <f>DEGREES(ATAN2(-Z72,-Z73))</f>
        <v>179.99999999968861</v>
      </c>
      <c r="U7" s="15"/>
      <c r="V7" s="15"/>
      <c r="W7" s="15"/>
      <c r="X7" s="15"/>
      <c r="Y7" s="2"/>
      <c r="Z7" s="22"/>
      <c r="AA7" s="2"/>
      <c r="AB7" s="2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x14ac:dyDescent="0.25">
      <c r="B8" s="27">
        <v>1E-4</v>
      </c>
      <c r="C8" s="2">
        <f t="shared" si="1"/>
        <v>1.7453292519943296E-6</v>
      </c>
      <c r="G8" s="72" t="s">
        <v>34</v>
      </c>
      <c r="H8" s="28">
        <f t="shared" ref="H8:H9" si="2">DEGREES(I8)</f>
        <v>1.0001000000000084</v>
      </c>
      <c r="I8" s="2">
        <f>ATAN2(-I62,SQRT((I60^2)+(I61^2)))</f>
        <v>1.7455037849195436E-2</v>
      </c>
      <c r="M8" s="38"/>
      <c r="N8" s="38" t="s">
        <v>34</v>
      </c>
      <c r="O8" s="27">
        <f t="shared" si="0"/>
        <v>1.0001000000000084</v>
      </c>
      <c r="P8" s="38" t="s">
        <v>7</v>
      </c>
      <c r="Q8" s="28">
        <f>IF(AND(B8&gt;0,R8&gt;0),R8,S8)</f>
        <v>9.999727018611568E-5</v>
      </c>
      <c r="R8" s="33">
        <f>DEGREES(ATAN2(Z74,+SQRT(1-Z74^2)))</f>
        <v>9.999727018611568E-5</v>
      </c>
      <c r="S8" s="33">
        <f>DEGREES(ATAN2(Z74,-SQRT(1-Z74^2)))</f>
        <v>-9.999727018611568E-5</v>
      </c>
      <c r="U8" s="18" t="s">
        <v>64</v>
      </c>
      <c r="V8" s="18" t="s">
        <v>65</v>
      </c>
      <c r="W8" s="15"/>
      <c r="X8" s="15"/>
      <c r="Y8" s="2"/>
      <c r="Z8" s="22"/>
      <c r="AA8" s="2"/>
      <c r="AB8" s="2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x14ac:dyDescent="0.25">
      <c r="B9" s="27">
        <v>0</v>
      </c>
      <c r="C9" s="2">
        <f>RADIANS((B9)+180)</f>
        <v>3.1415926535897931</v>
      </c>
      <c r="D9" s="8"/>
      <c r="E9" s="14"/>
      <c r="G9" s="72" t="s">
        <v>35</v>
      </c>
      <c r="H9" s="28">
        <f t="shared" si="2"/>
        <v>-90.000099999999591</v>
      </c>
      <c r="I9" s="2">
        <f>ATAN2((I61/I8),(I60/I8))</f>
        <v>-1.5707980721241415</v>
      </c>
      <c r="M9" s="2"/>
      <c r="N9" s="38" t="s">
        <v>35</v>
      </c>
      <c r="O9" s="27">
        <f t="shared" si="0"/>
        <v>-90.000099999999591</v>
      </c>
      <c r="P9" s="38" t="s">
        <v>8</v>
      </c>
      <c r="Q9" s="28">
        <f>IF(Q8&lt;0,S9,R9)</f>
        <v>3.113598268100759E-10</v>
      </c>
      <c r="R9" s="33">
        <f>IF(Y74&lt;0,DEGREES(ATAN2(X74,-Y74))-180,DEGREES(ATAN2(X74,-Y74))+180)</f>
        <v>3.113598268100759E-10</v>
      </c>
      <c r="S9" s="33">
        <f>IF(Y74&lt;0,DEGREES(ATAN2(-X74,Y74))+180,DEGREES(ATAN2(-X74,Y74))-180)</f>
        <v>-179.99999999968864</v>
      </c>
      <c r="U9" s="30" t="s">
        <v>55</v>
      </c>
      <c r="V9" s="30">
        <f>IF(AND(O4&gt;0,O5&gt;0),1,        IF(AND(O4&gt;0,O5&lt;0),2,      IF(AND(O4&lt;0,O5&lt;0),3,    IF(AND(O4&lt;0,O5&gt;0),4,))))</f>
        <v>1</v>
      </c>
      <c r="W9" s="15"/>
      <c r="X9" s="15"/>
      <c r="Y9" s="2"/>
      <c r="Z9" s="22"/>
      <c r="AA9" s="2"/>
      <c r="AB9" s="2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3" customFormat="1" ht="14.25" customHeight="1" x14ac:dyDescent="0.25">
      <c r="A10" s="4"/>
      <c r="C10" s="4"/>
      <c r="D10" s="4"/>
      <c r="E10" s="4"/>
      <c r="F10" s="4"/>
      <c r="L10" s="21"/>
      <c r="R10" s="32"/>
      <c r="S10" s="13"/>
      <c r="U10" s="48"/>
      <c r="V10" s="48"/>
      <c r="W10" s="48"/>
      <c r="X10" s="48"/>
      <c r="Y10" s="4"/>
      <c r="Z10" s="22"/>
      <c r="AA10" s="4"/>
      <c r="AB10" s="4"/>
      <c r="AD10" s="44"/>
      <c r="AE10" s="44"/>
      <c r="AF10" s="44"/>
      <c r="AG10" s="44"/>
      <c r="AH10" s="32"/>
      <c r="AI10" s="32"/>
      <c r="AJ10" s="32"/>
      <c r="AK10" s="32"/>
      <c r="AL10" s="32"/>
      <c r="AM10" s="32"/>
    </row>
    <row r="11" spans="1:39" ht="15.75" thickBot="1" x14ac:dyDescent="0.3">
      <c r="B11" s="6" t="s">
        <v>25</v>
      </c>
      <c r="C11" s="2"/>
      <c r="D11" s="6"/>
      <c r="E11" s="6"/>
      <c r="F11" s="6"/>
      <c r="T11" s="22"/>
      <c r="U11" s="15"/>
      <c r="V11" s="22"/>
      <c r="W11" s="15"/>
      <c r="X11" s="22"/>
      <c r="Y11" s="2"/>
      <c r="Z11" s="2"/>
      <c r="AA11" s="2"/>
      <c r="AB11" s="2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ht="18.75" customHeight="1" thickBot="1" x14ac:dyDescent="0.35">
      <c r="B12" s="9" t="s">
        <v>0</v>
      </c>
      <c r="C12" s="34" t="s">
        <v>32</v>
      </c>
      <c r="D12" s="34" t="s">
        <v>33</v>
      </c>
      <c r="E12" s="34" t="s">
        <v>1</v>
      </c>
      <c r="F12" s="35" t="s">
        <v>2</v>
      </c>
      <c r="H12" s="22" t="s">
        <v>20</v>
      </c>
      <c r="J12" s="22" t="s">
        <v>21</v>
      </c>
      <c r="N12" s="66" t="s">
        <v>57</v>
      </c>
      <c r="O12" s="15"/>
      <c r="P12" s="62"/>
      <c r="X12" s="3"/>
      <c r="AD12" s="15"/>
      <c r="AE12" s="15"/>
      <c r="AF12" s="15"/>
      <c r="AG12" s="22"/>
      <c r="AH12" s="22"/>
      <c r="AI12" s="15"/>
      <c r="AJ12" s="15"/>
      <c r="AK12" s="15"/>
      <c r="AL12" s="15"/>
      <c r="AM12" s="15"/>
    </row>
    <row r="13" spans="1:39" ht="16.5" thickTop="1" thickBot="1" x14ac:dyDescent="0.3">
      <c r="B13" s="36">
        <v>1</v>
      </c>
      <c r="C13" s="1">
        <f>C4</f>
        <v>1.7453292519943296E-6</v>
      </c>
      <c r="D13" s="1">
        <f>RADIANS(-90)</f>
        <v>-1.5707963267948966</v>
      </c>
      <c r="E13" s="1">
        <v>169.77</v>
      </c>
      <c r="F13" s="10">
        <v>64.2</v>
      </c>
      <c r="G13" s="8" t="s">
        <v>22</v>
      </c>
      <c r="H13" s="23">
        <v>0</v>
      </c>
      <c r="I13" s="8" t="s">
        <v>22</v>
      </c>
      <c r="J13" s="23">
        <v>0</v>
      </c>
      <c r="N13" s="63" t="s">
        <v>56</v>
      </c>
      <c r="O13" s="64">
        <f>ATAN((AA67)/(AA66))</f>
        <v>1.745329251320552E-6</v>
      </c>
      <c r="P13" s="65">
        <f>IF(V9=1,DEGREES(O13),        IF(V9=2,DEGREES(O13),      IF(V9=3,-180+DEGREES(O13),    IF(V9=4,180+DEGREES(O13),))))</f>
        <v>9.9999999961395387E-5</v>
      </c>
      <c r="X13" s="3"/>
      <c r="AD13" s="22"/>
      <c r="AE13" s="22"/>
      <c r="AF13" s="45"/>
      <c r="AG13" s="22"/>
      <c r="AH13" s="22"/>
      <c r="AI13" s="15"/>
      <c r="AJ13" s="15"/>
      <c r="AK13" s="15"/>
      <c r="AL13" s="15"/>
      <c r="AM13" s="15"/>
    </row>
    <row r="14" spans="1:39" ht="15.75" thickTop="1" x14ac:dyDescent="0.25">
      <c r="B14" s="36">
        <v>2</v>
      </c>
      <c r="C14" s="1">
        <f t="shared" ref="C14:C18" si="3">C5</f>
        <v>-1.5707963267948966</v>
      </c>
      <c r="D14" s="1">
        <f>RADIANS(0)</f>
        <v>0</v>
      </c>
      <c r="E14" s="1">
        <v>0</v>
      </c>
      <c r="F14" s="10">
        <v>305</v>
      </c>
      <c r="G14" s="8" t="s">
        <v>23</v>
      </c>
      <c r="H14" s="23">
        <v>0</v>
      </c>
      <c r="I14" s="8" t="s">
        <v>23</v>
      </c>
      <c r="J14" s="23">
        <v>0</v>
      </c>
      <c r="AD14" s="22"/>
      <c r="AE14" s="22"/>
      <c r="AF14" s="15"/>
      <c r="AG14" s="22"/>
      <c r="AH14" s="22"/>
      <c r="AI14" s="15"/>
      <c r="AJ14" s="15"/>
      <c r="AK14" s="15"/>
      <c r="AL14" s="15"/>
      <c r="AM14" s="15"/>
    </row>
    <row r="15" spans="1:39" x14ac:dyDescent="0.25">
      <c r="B15" s="36">
        <v>3</v>
      </c>
      <c r="C15" s="1">
        <f t="shared" si="3"/>
        <v>-1.5533430342749532</v>
      </c>
      <c r="D15" s="17">
        <f>RADIANS(90)</f>
        <v>1.5707963267948966</v>
      </c>
      <c r="E15" s="1">
        <v>0</v>
      </c>
      <c r="F15" s="10">
        <v>0</v>
      </c>
      <c r="G15" s="8" t="s">
        <v>24</v>
      </c>
      <c r="H15" s="23">
        <v>0</v>
      </c>
      <c r="I15" s="8" t="s">
        <v>24</v>
      </c>
      <c r="J15" s="23">
        <v>0</v>
      </c>
      <c r="N15" s="83" t="s">
        <v>58</v>
      </c>
      <c r="O15" s="83"/>
      <c r="P15" s="83"/>
      <c r="Q15" s="83"/>
      <c r="R15" s="83"/>
      <c r="S15" s="83"/>
      <c r="T15" s="83"/>
      <c r="U15" s="83"/>
      <c r="V15" s="83"/>
      <c r="W15" s="83"/>
      <c r="AD15" s="22"/>
      <c r="AE15" s="22"/>
      <c r="AF15" s="15"/>
      <c r="AG15" s="15"/>
      <c r="AH15" s="15"/>
      <c r="AI15" s="15"/>
      <c r="AJ15" s="15"/>
      <c r="AK15" s="15"/>
      <c r="AL15" s="15"/>
      <c r="AM15" s="15"/>
    </row>
    <row r="16" spans="1:39" ht="17.25" customHeight="1" thickBot="1" x14ac:dyDescent="0.3">
      <c r="B16" s="36">
        <v>4</v>
      </c>
      <c r="C16" s="1">
        <f t="shared" si="3"/>
        <v>0</v>
      </c>
      <c r="D16" s="17">
        <f>RADIANS(-90)</f>
        <v>-1.5707963267948966</v>
      </c>
      <c r="E16" s="1">
        <v>-222.63</v>
      </c>
      <c r="F16" s="10">
        <v>0</v>
      </c>
      <c r="G16" s="24" t="s">
        <v>19</v>
      </c>
      <c r="H16" s="23">
        <v>0</v>
      </c>
      <c r="I16" s="24" t="s">
        <v>19</v>
      </c>
      <c r="J16" s="23">
        <v>0</v>
      </c>
      <c r="N16" s="83"/>
      <c r="O16" s="83"/>
      <c r="P16" s="83"/>
      <c r="Q16" s="83"/>
      <c r="R16" s="83"/>
      <c r="S16" s="83"/>
      <c r="T16" s="83"/>
      <c r="U16" s="83"/>
      <c r="V16" s="83"/>
      <c r="W16" s="83"/>
      <c r="AD16" s="15"/>
      <c r="AE16" s="15"/>
      <c r="AF16" s="15"/>
      <c r="AG16" s="22"/>
      <c r="AH16" s="22"/>
      <c r="AI16" s="15"/>
      <c r="AJ16" s="15"/>
      <c r="AK16" s="15"/>
      <c r="AL16" s="15"/>
      <c r="AM16" s="15"/>
    </row>
    <row r="17" spans="2:39" ht="15.75" thickTop="1" x14ac:dyDescent="0.25">
      <c r="B17" s="36">
        <v>5</v>
      </c>
      <c r="C17" s="1">
        <f t="shared" si="3"/>
        <v>1.7453292519943296E-6</v>
      </c>
      <c r="D17" s="17">
        <f>RADIANS(90)</f>
        <v>1.5707963267948966</v>
      </c>
      <c r="E17" s="1">
        <v>0</v>
      </c>
      <c r="F17" s="10">
        <v>0</v>
      </c>
      <c r="G17" s="24" t="s">
        <v>18</v>
      </c>
      <c r="H17" s="23">
        <v>0</v>
      </c>
      <c r="I17" s="24" t="s">
        <v>18</v>
      </c>
      <c r="J17" s="23">
        <v>0</v>
      </c>
      <c r="N17" s="54"/>
      <c r="O17" s="57" t="s">
        <v>47</v>
      </c>
      <c r="P17" s="57" t="s">
        <v>48</v>
      </c>
      <c r="Q17" s="59" t="s">
        <v>54</v>
      </c>
      <c r="R17" s="58"/>
      <c r="S17" s="15"/>
      <c r="AD17" s="22"/>
      <c r="AE17" s="22"/>
      <c r="AF17" s="45"/>
      <c r="AG17" s="22"/>
      <c r="AH17" s="22"/>
      <c r="AI17" s="15"/>
      <c r="AJ17" s="15"/>
      <c r="AK17" s="15"/>
      <c r="AL17" s="15"/>
      <c r="AM17" s="15"/>
    </row>
    <row r="18" spans="2:39" ht="15.75" thickBot="1" x14ac:dyDescent="0.3">
      <c r="B18" s="37">
        <v>6</v>
      </c>
      <c r="C18" s="11">
        <f t="shared" si="3"/>
        <v>3.1415926535897931</v>
      </c>
      <c r="D18" s="11">
        <f>RADIANS(0)</f>
        <v>0</v>
      </c>
      <c r="E18" s="11">
        <v>-36.25</v>
      </c>
      <c r="F18" s="12">
        <v>0</v>
      </c>
      <c r="G18" s="24" t="s">
        <v>17</v>
      </c>
      <c r="H18" s="23">
        <v>0</v>
      </c>
      <c r="I18" s="24" t="s">
        <v>17</v>
      </c>
      <c r="J18" s="23">
        <v>0</v>
      </c>
      <c r="N18" s="55" t="s">
        <v>40</v>
      </c>
      <c r="O18" s="49">
        <f>SQRT(((ABS(AA67))^2)+((ABS(AA66))^2))</f>
        <v>68.085429245132474</v>
      </c>
      <c r="P18" s="50" t="s">
        <v>50</v>
      </c>
      <c r="Q18" s="60" t="s">
        <v>50</v>
      </c>
      <c r="R18" s="25"/>
      <c r="S18" s="15"/>
      <c r="AD18" s="22"/>
      <c r="AE18" s="22"/>
      <c r="AF18" s="15"/>
      <c r="AG18" s="22"/>
      <c r="AH18" s="22"/>
      <c r="AI18" s="15"/>
      <c r="AJ18" s="15"/>
      <c r="AK18" s="15"/>
      <c r="AL18" s="15"/>
      <c r="AM18" s="15"/>
    </row>
    <row r="19" spans="2:39" x14ac:dyDescent="0.25">
      <c r="N19" s="55" t="s">
        <v>41</v>
      </c>
      <c r="O19" s="49">
        <f>AA68-E13</f>
        <v>527.59609237266739</v>
      </c>
      <c r="P19" s="50" t="s">
        <v>50</v>
      </c>
      <c r="Q19" s="60" t="s">
        <v>50</v>
      </c>
      <c r="R19" s="25"/>
      <c r="S19" s="15"/>
      <c r="AD19" s="22"/>
      <c r="AE19" s="22"/>
      <c r="AF19" s="15"/>
      <c r="AG19" s="15"/>
      <c r="AH19" s="15"/>
      <c r="AI19" s="15"/>
      <c r="AJ19" s="15"/>
      <c r="AK19" s="15"/>
      <c r="AL19" s="15"/>
      <c r="AM19" s="15"/>
    </row>
    <row r="20" spans="2:39" x14ac:dyDescent="0.25">
      <c r="B20" t="s">
        <v>20</v>
      </c>
      <c r="G20" s="22"/>
      <c r="H20" s="22"/>
      <c r="I20" s="15"/>
      <c r="M20" s="26"/>
      <c r="N20" s="55" t="s">
        <v>42</v>
      </c>
      <c r="O20" s="49">
        <f>O18-F13</f>
        <v>3.885429245132471</v>
      </c>
      <c r="P20" s="49">
        <f>-O20</f>
        <v>-3.885429245132471</v>
      </c>
      <c r="Q20" s="61">
        <f>O18+F13</f>
        <v>132.28542924513249</v>
      </c>
      <c r="R20" s="25"/>
      <c r="S20" s="15"/>
      <c r="AD20" s="15"/>
      <c r="AE20" s="15"/>
      <c r="AF20" s="15"/>
      <c r="AG20" s="22"/>
      <c r="AH20" s="22"/>
      <c r="AI20" s="15"/>
      <c r="AJ20" s="15"/>
      <c r="AK20" s="15"/>
      <c r="AL20" s="15"/>
      <c r="AM20" s="15"/>
    </row>
    <row r="21" spans="2:39" x14ac:dyDescent="0.25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22"/>
      <c r="H21" s="22"/>
      <c r="I21" s="15"/>
      <c r="M21" s="39"/>
      <c r="N21" s="55" t="s">
        <v>43</v>
      </c>
      <c r="O21" s="49">
        <f>SQRT((O19^2)+(O20^2))</f>
        <v>527.61039910840191</v>
      </c>
      <c r="P21" s="49">
        <f>SQRT((O19^2)+(P20^2))</f>
        <v>527.61039910840191</v>
      </c>
      <c r="Q21" s="61">
        <f>SQRT((O19^2)+(Q20^2))</f>
        <v>543.92745056439026</v>
      </c>
      <c r="R21" s="25"/>
      <c r="S21" s="15"/>
      <c r="AD21" s="22"/>
      <c r="AE21" s="22"/>
      <c r="AF21" s="45"/>
      <c r="AG21" s="22"/>
      <c r="AH21" s="22"/>
      <c r="AI21" s="15"/>
      <c r="AJ21" s="15"/>
      <c r="AK21" s="15"/>
      <c r="AL21" s="15"/>
      <c r="AM21" s="15"/>
    </row>
    <row r="22" spans="2:39" x14ac:dyDescent="0.25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22"/>
      <c r="H22" s="22"/>
      <c r="I22" s="15"/>
      <c r="M22" s="39"/>
      <c r="N22" s="55" t="s">
        <v>44</v>
      </c>
      <c r="O22" s="49">
        <f>DEGREES(ATAN(O19/O20))</f>
        <v>89.578058525904055</v>
      </c>
      <c r="P22" s="49">
        <f>DEGREES(ACOS(((F14^2)+(P21^2)-(ABS(E16)^2))/(2*F14*P21)))</f>
        <v>0.42194147409630767</v>
      </c>
      <c r="Q22" s="61" t="e">
        <f>DEGREES(ACOS(((F14^2)+(Q21^2)-(ABS(E16)^2))/(2*F14*Q21)))</f>
        <v>#NUM!</v>
      </c>
      <c r="R22" s="15"/>
      <c r="AD22" s="22"/>
      <c r="AE22" s="22"/>
      <c r="AF22" s="15"/>
      <c r="AG22" s="22"/>
      <c r="AH22" s="22"/>
      <c r="AI22" s="15"/>
      <c r="AJ22" s="15"/>
      <c r="AK22" s="15"/>
      <c r="AL22" s="15"/>
      <c r="AM22" s="15"/>
    </row>
    <row r="23" spans="2:39" x14ac:dyDescent="0.25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26</v>
      </c>
      <c r="M23" s="39"/>
      <c r="N23" s="55" t="s">
        <v>45</v>
      </c>
      <c r="O23" s="49">
        <f>DEGREES(ACOS(((F14^2)+(O21^2)-(ABS(E16)^2))/(2*F14*O21)))</f>
        <v>0.42194147409630767</v>
      </c>
      <c r="P23" s="49">
        <f>(DEGREES(ATAN(P20/O19)))</f>
        <v>-0.42194147409594945</v>
      </c>
      <c r="Q23" s="61">
        <f>(DEGREES(ATAN(O19/Q20)))</f>
        <v>75.924268885354024</v>
      </c>
      <c r="R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2:39" x14ac:dyDescent="0.25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0.99999999999847689</v>
      </c>
      <c r="H24" s="5">
        <f>(B21*C27)+(C21*C28)+(D21*C29)+(E21*C30)</f>
        <v>-1.0691437181932925E-22</v>
      </c>
      <c r="I24" s="5">
        <f>(B21*D27)+(C21*D28)+(D21*D29)+(E21*D30)</f>
        <v>-1.7453292519934436E-6</v>
      </c>
      <c r="J24" s="7">
        <f>(B21*E27)+(C21*E28)+(D21*E29)+(E21*E30)</f>
        <v>64.199999999902218</v>
      </c>
      <c r="M24" s="13"/>
      <c r="N24" s="56" t="s">
        <v>49</v>
      </c>
      <c r="O24" s="51">
        <f>180-DEGREES(ACOS(((ABS(E16)^2)+(F14^2)-(O21^2))/(2*ABS(E16)*F14)))</f>
        <v>0.99999999999843681</v>
      </c>
      <c r="P24" s="52">
        <f>180-DEGREES(ACOS(((ABS(E16)^2)+(F14^2)-(P21^2))/(2*ABS(E16)*F14)))</f>
        <v>0.99999999999843681</v>
      </c>
      <c r="Q24" s="61" t="e">
        <f>180-DEGREES(ACOS(((ABS(E16)^2)+(F14^2)-(Q21^2))/(2*ABS(E16)*F14)))</f>
        <v>#NUM!</v>
      </c>
      <c r="R24" s="15"/>
      <c r="AD24" s="15"/>
      <c r="AE24" s="15"/>
      <c r="AF24" s="15"/>
      <c r="AG24" s="22"/>
      <c r="AH24" s="22"/>
      <c r="AI24" s="15"/>
      <c r="AJ24" s="15"/>
      <c r="AK24" s="15"/>
      <c r="AL24" s="15"/>
      <c r="AM24" s="15"/>
    </row>
    <row r="25" spans="2:39" x14ac:dyDescent="0.25">
      <c r="G25" s="5">
        <f>(B22*B27)+(C22*B28)+(D22*B29)+(E22*B30)</f>
        <v>1.7453292519934436E-6</v>
      </c>
      <c r="H25" s="5">
        <f>(B22*C27)+(C22*C28)+(D22*C29)+(E22*C30)</f>
        <v>6.1257422745337693E-17</v>
      </c>
      <c r="I25" s="5">
        <f>(B22*D27)+(C22*D28)+(D22*D29)+(E22*D30)</f>
        <v>0.99999999999847689</v>
      </c>
      <c r="J25" s="7">
        <f>(B22*E27)+(C22*E28)+(D22*E29)+(E22*E30)</f>
        <v>1.1205013797797909E-4</v>
      </c>
      <c r="M25" s="13"/>
      <c r="N25" s="56" t="s">
        <v>51</v>
      </c>
      <c r="O25" s="53" t="s">
        <v>52</v>
      </c>
      <c r="P25" s="49">
        <f>90-(P22+P23)</f>
        <v>89.999999999999645</v>
      </c>
      <c r="Q25" s="60" t="s">
        <v>52</v>
      </c>
      <c r="R25" s="15"/>
      <c r="AD25" s="22"/>
      <c r="AE25" s="22"/>
      <c r="AF25" s="45"/>
      <c r="AG25" s="22"/>
      <c r="AH25" s="22"/>
      <c r="AI25" s="15"/>
      <c r="AJ25" s="15"/>
      <c r="AK25" s="15"/>
      <c r="AL25" s="15"/>
      <c r="AM25" s="15"/>
    </row>
    <row r="26" spans="2:39" x14ac:dyDescent="0.25">
      <c r="B26" t="s">
        <v>3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7">
        <f>(B23*E27)+(C23*E28)+(D23*E29)+(E23*E30)</f>
        <v>169.77</v>
      </c>
      <c r="M26" s="13"/>
      <c r="N26" s="55" t="s">
        <v>46</v>
      </c>
      <c r="O26" s="49">
        <f>-(O22+O23)</f>
        <v>-90.000000000000369</v>
      </c>
      <c r="P26" s="49">
        <f>-180+P25</f>
        <v>-90.000000000000355</v>
      </c>
      <c r="Q26" s="61" t="e">
        <f>-180+(Q23-Q22)</f>
        <v>#NUM!</v>
      </c>
      <c r="R26" s="15"/>
      <c r="AD26" s="22"/>
      <c r="AE26" s="22"/>
      <c r="AF26" s="15"/>
      <c r="AG26" s="22"/>
      <c r="AH26" s="22"/>
      <c r="AI26" s="15"/>
      <c r="AJ26" s="15"/>
      <c r="AK26" s="15"/>
      <c r="AL26" s="15"/>
      <c r="AM26" s="15"/>
    </row>
    <row r="27" spans="2:39" ht="15.75" thickBot="1" x14ac:dyDescent="0.3">
      <c r="B27" s="5">
        <f>COS(C13)</f>
        <v>0.99999999999847689</v>
      </c>
      <c r="C27" s="5">
        <f>-SIN(C13)*COS(D13)</f>
        <v>-1.0691437181932925E-22</v>
      </c>
      <c r="D27" s="5">
        <f>SIN(C13)*SIN(D13)</f>
        <v>-1.7453292519934436E-6</v>
      </c>
      <c r="E27" s="5">
        <f>F13*COS(C13)</f>
        <v>64.199999999902218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7">
        <f>(B24*E27)+(C24*E28)+(D24*E29)+(E24*E30)</f>
        <v>1</v>
      </c>
      <c r="N27" s="67" t="s">
        <v>53</v>
      </c>
      <c r="O27" s="68">
        <f>O24</f>
        <v>0.99999999999843681</v>
      </c>
      <c r="P27" s="68">
        <f>P24</f>
        <v>0.99999999999843681</v>
      </c>
      <c r="Q27" s="69" t="e">
        <f>Q24</f>
        <v>#NUM!</v>
      </c>
      <c r="R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2:39" ht="15.75" thickTop="1" x14ac:dyDescent="0.25">
      <c r="B28" s="5">
        <f>SIN(C13)</f>
        <v>1.7453292519934436E-6</v>
      </c>
      <c r="C28" s="5">
        <f>COS(C13)*COS(D13)</f>
        <v>6.1257422745337693E-17</v>
      </c>
      <c r="D28" s="5">
        <f>-COS(C13)*SIN(D13)</f>
        <v>0.99999999999847689</v>
      </c>
      <c r="E28" s="5">
        <f>F13*SIN(C13)</f>
        <v>1.1205013797797909E-4</v>
      </c>
      <c r="S28" s="15"/>
      <c r="T28" s="15"/>
      <c r="U28" s="15"/>
      <c r="V28" s="15"/>
      <c r="W28" s="15"/>
      <c r="AD28" s="15"/>
      <c r="AE28" s="15"/>
      <c r="AF28" s="15"/>
      <c r="AG28" s="22"/>
      <c r="AH28" s="22"/>
      <c r="AI28" s="15"/>
      <c r="AJ28" s="15"/>
      <c r="AK28" s="15"/>
      <c r="AL28" s="15"/>
      <c r="AM28" s="15"/>
    </row>
    <row r="29" spans="2:39" x14ac:dyDescent="0.25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169.77</v>
      </c>
      <c r="G29" t="s">
        <v>27</v>
      </c>
      <c r="N29" t="s">
        <v>20</v>
      </c>
      <c r="W29" s="15"/>
      <c r="X29" t="s">
        <v>31</v>
      </c>
      <c r="AD29" s="22"/>
      <c r="AE29" s="22"/>
      <c r="AF29" s="45"/>
      <c r="AG29" s="22"/>
      <c r="AH29" s="22"/>
      <c r="AI29" s="15"/>
      <c r="AJ29" s="15"/>
      <c r="AK29" s="15"/>
      <c r="AL29" s="15"/>
      <c r="AM29" s="15"/>
    </row>
    <row r="30" spans="2:39" x14ac:dyDescent="0.25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6.1257529659709512E-17</v>
      </c>
      <c r="H30" s="5">
        <f>(G24*C33)+(H24*C34)+(I24*C35)+(J24*C36)</f>
        <v>0.99999999999847689</v>
      </c>
      <c r="I30" s="5">
        <f>(G24*D33)+(H24*D34)+(I24*D35)+(J24*D36)</f>
        <v>-1.7453292519934436E-6</v>
      </c>
      <c r="J30" s="5">
        <f>(G24*E33)+(H24*E34)+(I24*E35)+(J24*E36)</f>
        <v>64.199999999902232</v>
      </c>
      <c r="N30" s="5">
        <f>COS(RADIANS(H18))*COS(RADIANS(H17))</f>
        <v>1</v>
      </c>
      <c r="O30" s="5">
        <f>-SIN(RADIANS(H18))*COS(RADIANS(H16))+COS(RADIANS(H18))*SIN(RADIANS(H17))*SIN(RADIANS(H16))</f>
        <v>0</v>
      </c>
      <c r="P30" s="5">
        <f>SIN(RADIANS(H18))*SIN(RADIANS(H16))+COS(RADIANS(H18))*SIN(RADIANS(H17))*COS(RADIANS(H16))</f>
        <v>0</v>
      </c>
      <c r="Q30" s="5">
        <f>H13</f>
        <v>0</v>
      </c>
      <c r="W30" s="15"/>
      <c r="X30" s="18">
        <f>COS(RADIANS(O7))*COS(RADIANS(O9))-COS(RADIANS(O8))*SIN(RADIANS(O7))*SIN(RADIANS(O9))</f>
        <v>-0.99984766469315001</v>
      </c>
      <c r="Y30" s="18">
        <f>COS(RADIANS(O9))*SIN(RADIANS(O7))+COS(RADIANS(O7))*COS(RADIANS(O8))*SIN(RADIANS(O9))</f>
        <v>1.7453292521095214E-6</v>
      </c>
      <c r="Z30" s="18">
        <f>SIN(RADIANS(O8))*SIN(RADIANS(O9))</f>
        <v>-1.7454151500660386E-2</v>
      </c>
      <c r="AA30" s="17">
        <f>O4</f>
        <v>68.718142236927719</v>
      </c>
      <c r="AC30" s="13"/>
      <c r="AD30" s="13"/>
      <c r="AE30" s="13"/>
      <c r="AF30" s="15"/>
      <c r="AG30" s="22"/>
      <c r="AH30" s="22"/>
      <c r="AI30" s="15"/>
      <c r="AJ30" s="15"/>
      <c r="AK30" s="15"/>
      <c r="AL30" s="15"/>
      <c r="AM30" s="15"/>
    </row>
    <row r="31" spans="2:39" x14ac:dyDescent="0.25">
      <c r="G31" s="5">
        <f>(G25*B33)+(H25*B34)+(I25*B35)+(J25*B36)</f>
        <v>-6.1257315830965874E-17</v>
      </c>
      <c r="H31" s="5">
        <f>(G25*C33)+(H25*C34)+(I25*C35)+(J25*C36)</f>
        <v>1.7453292519934436E-6</v>
      </c>
      <c r="I31" s="5">
        <f>(G25*D33)+(H25*D34)+(I25*D35)+(J25*D36)</f>
        <v>0.99999999999847689</v>
      </c>
      <c r="J31" s="5">
        <f>(G25*E33)+(H25*E34)+(I25*E35)+(J25*E36)</f>
        <v>1.120501379592956E-4</v>
      </c>
      <c r="N31" s="5">
        <f>SIN(RADIANS(H18))*COS(RADIANS(H17))</f>
        <v>0</v>
      </c>
      <c r="O31" s="5">
        <f>COS(RADIANS(H18))*COS(RADIANS(H16))+SIN(RADIANS(H18))*SIN(RADIANS(H17))*SIN(RADIANS(H16))</f>
        <v>1</v>
      </c>
      <c r="P31" s="5">
        <f>-COS(RADIANS(H18))*SIN(RADIANS(H16))+SIN(RADIANS(H18))*SIN(RADIANS(H17))*COS(RADIANS(H16))</f>
        <v>0</v>
      </c>
      <c r="Q31" s="5">
        <f>H14</f>
        <v>0</v>
      </c>
      <c r="W31" s="15"/>
      <c r="X31" s="18">
        <f>COS(RADIANS(O8))*COS(RADIANS(O9))*SIN(RADIANS(O7))+COS(RADIANS(O7))*SIN(RADIANS(O9))</f>
        <v>1.7450633768472186E-6</v>
      </c>
      <c r="Y31" s="18">
        <f>COS(RADIANS(O7))*COS(RADIANS(O8))*COS(RADIANS(O9))-SIN(RADIANS(O7))*SIN(RADIANS(O9))</f>
        <v>-0.99999999999847689</v>
      </c>
      <c r="Z31" s="18">
        <f>COS(RADIANS(O9))*SIN(RADIANS(O8))</f>
        <v>-3.0463241058093987E-8</v>
      </c>
      <c r="AA31" s="17">
        <f>O5</f>
        <v>1.1993578373854105E-4</v>
      </c>
      <c r="AC31" s="13"/>
      <c r="AD31" s="13"/>
      <c r="AE31" s="13"/>
      <c r="AF31" s="15"/>
      <c r="AG31" s="15"/>
      <c r="AH31" s="15"/>
      <c r="AI31" s="15"/>
      <c r="AJ31" s="15"/>
      <c r="AK31" s="15"/>
      <c r="AL31" s="15"/>
      <c r="AM31" s="15"/>
    </row>
    <row r="32" spans="2:39" x14ac:dyDescent="0.25">
      <c r="B32" t="s">
        <v>4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474.77</v>
      </c>
      <c r="N32" s="5">
        <f>-SIN(RADIANS(H18))</f>
        <v>0</v>
      </c>
      <c r="O32" s="5">
        <f>COS(RADIANS(H17))*SIN(RADIANS(H16))</f>
        <v>0</v>
      </c>
      <c r="P32" s="5">
        <f>COS(RADIANS(H17))*COS(RADIANS(H16))</f>
        <v>1</v>
      </c>
      <c r="Q32" s="5">
        <f>H15</f>
        <v>0</v>
      </c>
      <c r="S32" t="s">
        <v>26</v>
      </c>
      <c r="W32" s="15"/>
      <c r="X32" s="18">
        <f>SIN(RADIANS(O7))*SIN(RADIANS(O8))</f>
        <v>-1.7454151500686972E-2</v>
      </c>
      <c r="Y32" s="18">
        <f>COS(RADIANS(O7))*SIN(RADIANS(O8))</f>
        <v>-1.268256094138251E-16</v>
      </c>
      <c r="Z32" s="18">
        <f>-COS(RADIANS(O8))</f>
        <v>-0.9998476646946729</v>
      </c>
      <c r="AA32" s="17">
        <f>O6</f>
        <v>733.61057021784927</v>
      </c>
      <c r="AC32" s="13"/>
      <c r="AD32" s="13"/>
      <c r="AE32" s="13"/>
      <c r="AF32" s="15"/>
      <c r="AG32" s="22"/>
      <c r="AH32" s="22"/>
      <c r="AI32" s="15"/>
      <c r="AJ32" s="15"/>
      <c r="AK32" s="15"/>
      <c r="AL32" s="15"/>
      <c r="AM32" s="15"/>
    </row>
    <row r="33" spans="2:39" x14ac:dyDescent="0.25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1.8683513937356455E-14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N33" s="5">
        <v>0</v>
      </c>
      <c r="O33" s="5">
        <v>0</v>
      </c>
      <c r="P33" s="5">
        <v>0</v>
      </c>
      <c r="Q33" s="5">
        <v>1</v>
      </c>
      <c r="S33" s="5">
        <f>(N30*N36)+(O30*N37)+(P30*N38)+(Q30*N39)</f>
        <v>0.99999999999847689</v>
      </c>
      <c r="T33" s="5">
        <f>(N30*O36)+(O30*O37)+(P30*O38)+(Q30*O39)</f>
        <v>-1.0691437177805537E-22</v>
      </c>
      <c r="U33" s="5">
        <f>(N30*P36)+(O30*P37)+(P30*P38)+(Q30*P39)</f>
        <v>-1.745329251319666E-6</v>
      </c>
      <c r="V33" s="7">
        <f>(N30*Q36)+(O30*Q37)+(P30*Q38)+(Q30*Q39)</f>
        <v>64.199999999902218</v>
      </c>
      <c r="W33" s="15"/>
      <c r="X33" s="5">
        <v>0</v>
      </c>
      <c r="Y33" s="5">
        <v>0</v>
      </c>
      <c r="Z33" s="5">
        <v>0</v>
      </c>
      <c r="AA33" s="5">
        <v>1</v>
      </c>
      <c r="AD33" s="22"/>
      <c r="AE33" s="22"/>
      <c r="AF33" s="45"/>
      <c r="AG33" s="22"/>
      <c r="AH33" s="22"/>
      <c r="AI33" s="15"/>
      <c r="AJ33" s="15"/>
      <c r="AK33" s="15"/>
      <c r="AL33" s="15"/>
      <c r="AM33" s="15"/>
    </row>
    <row r="34" spans="2:39" x14ac:dyDescent="0.2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-305</v>
      </c>
      <c r="S34" s="5">
        <f>(N31*N36)+(O31*N37)+(P31*N38)+(Q31*N39)</f>
        <v>1.745329251319666E-6</v>
      </c>
      <c r="T34" s="5">
        <f>(N31*O36)+(O31*O37)+(P31*O38)+(Q31*O39)</f>
        <v>6.1257422745337693E-17</v>
      </c>
      <c r="U34" s="5">
        <f>(N31*P36)+(O31*P37)+(P31*P38)+(Q31*P39)</f>
        <v>0.99999999999847689</v>
      </c>
      <c r="V34" s="7">
        <f>(N31*Q36)+(O31*Q37)+(P31*Q38)+(Q31*Q39)</f>
        <v>1.1205013793472256E-4</v>
      </c>
      <c r="W34" s="15"/>
      <c r="AD34" s="22"/>
      <c r="AE34" s="22"/>
      <c r="AF34" s="15"/>
      <c r="AG34" s="22"/>
      <c r="AH34" s="22"/>
      <c r="AI34" s="15"/>
      <c r="AJ34" s="15"/>
      <c r="AK34" s="15"/>
      <c r="AL34" s="15"/>
      <c r="AM34" s="15"/>
    </row>
    <row r="35" spans="2:39" x14ac:dyDescent="0.25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28</v>
      </c>
      <c r="N35" s="13" t="s">
        <v>3</v>
      </c>
      <c r="O35" s="13"/>
      <c r="P35" s="13"/>
      <c r="Q35" s="13"/>
      <c r="S35" s="5">
        <f>(N32*N36)+(O32*N37)+(P32*N38)+(Q32*N39)</f>
        <v>0</v>
      </c>
      <c r="T35" s="5">
        <f>(N32*O36)+(O32*O37)+(P32*O38)+(Q32*O39)</f>
        <v>-1</v>
      </c>
      <c r="U35" s="5">
        <f>(N32*P36)+(O32*P37)+(P32*P38)+(Q32*P39)</f>
        <v>6.1257422745431001E-17</v>
      </c>
      <c r="V35" s="7">
        <f>(N32*Q36)+(O32*Q37)+(P32*Q38)+(Q32*Q39)</f>
        <v>169.77</v>
      </c>
      <c r="W35" s="15"/>
      <c r="X35" t="s">
        <v>39</v>
      </c>
      <c r="AF35" s="15"/>
      <c r="AG35" s="15"/>
      <c r="AH35" s="15"/>
      <c r="AI35" s="15"/>
      <c r="AJ35" s="15"/>
      <c r="AK35" s="15"/>
      <c r="AL35" s="15"/>
      <c r="AM35" s="15"/>
    </row>
    <row r="36" spans="2:39" x14ac:dyDescent="0.2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-0.99984769515486838</v>
      </c>
      <c r="H36" s="5">
        <f>(G30*C39)+(H30*C40)+(I30*C41)+(J30*C42)</f>
        <v>-1.7453292519923744E-6</v>
      </c>
      <c r="I36" s="5">
        <f>(G30*D39)+(H30*D40)+(I30*D41)+(J30*D42)</f>
        <v>-1.7452406437257078E-2</v>
      </c>
      <c r="J36" s="19">
        <f>(G30*E39)+(H30*E40)+(I30*E41)+(J30*E42)</f>
        <v>64.199999999902232</v>
      </c>
      <c r="N36" s="5">
        <f>COS(RADIANS(Q4))</f>
        <v>0.99999999999847689</v>
      </c>
      <c r="O36" s="5">
        <f>-SIN(RADIANS(Q4))*COS(D13)</f>
        <v>-1.0691437177805537E-22</v>
      </c>
      <c r="P36" s="5">
        <f>SIN(RADIANS(Q4))*SIN(D13)</f>
        <v>-1.745329251319666E-6</v>
      </c>
      <c r="Q36" s="5">
        <f>F13*COS(RADIANS(Q4))</f>
        <v>64.199999999902218</v>
      </c>
      <c r="S36" s="5">
        <f>(N33*N36)+(O33*N37)+(P33*N38)+(Q33*N39)</f>
        <v>0</v>
      </c>
      <c r="T36" s="5">
        <f>(N33*O36)+(O33*O37)+(P33*O38)+(Q33*O39)</f>
        <v>0</v>
      </c>
      <c r="U36" s="5">
        <f>(N33*P36)+(O33*P37)+(P33*P38)+(Q33*P39)</f>
        <v>0</v>
      </c>
      <c r="V36" s="7">
        <f>(N33*Q36)+(O33*Q37)+(P33*Q38)+(Q33*Q39)</f>
        <v>1</v>
      </c>
      <c r="W36" s="15"/>
      <c r="X36" s="5">
        <f>((N30*X$30)+(O30*X$31)+(P30*X$32)+(Q30*X$33))*-1</f>
        <v>0.99984766469315001</v>
      </c>
      <c r="Y36" s="5">
        <f>(N30*Y$30)+(O30*Y$31)+(P30*Y$32)+(Q30*Y$33)</f>
        <v>1.7453292521095214E-6</v>
      </c>
      <c r="Z36" s="5">
        <f>(N30*Z$30)+(O30*Z$31)+(P30*Z$32)+(Q30*Z$33)</f>
        <v>-1.7454151500660386E-2</v>
      </c>
      <c r="AA36" s="5">
        <f>(N30*AA$30)+(O30*AA$31)+(P30*AA$32)+(Q30*AA$33)</f>
        <v>68.718142236927719</v>
      </c>
      <c r="AF36" s="15"/>
      <c r="AG36" s="15"/>
      <c r="AH36" s="15"/>
      <c r="AI36" s="15"/>
      <c r="AJ36" s="15"/>
      <c r="AK36" s="15"/>
      <c r="AL36" s="15"/>
      <c r="AM36" s="15"/>
    </row>
    <row r="37" spans="2:39" x14ac:dyDescent="0.25">
      <c r="G37" s="5">
        <f>(G31*B39)+(H31*B40)+(I31*B41)+(J31*B42)</f>
        <v>-1.7450634298957422E-6</v>
      </c>
      <c r="H37" s="5">
        <f>(G31*C39)+(H31*C40)+(I31*C41)+(J31*C42)</f>
        <v>0.99999999999847689</v>
      </c>
      <c r="I37" s="5">
        <f>(G31*D39)+(H31*D40)+(I31*D41)+(J31*D42)</f>
        <v>-3.0460195350164336E-8</v>
      </c>
      <c r="J37" s="19">
        <f>(G31*E39)+(H31*E40)+(I31*E41)+(J31*E42)</f>
        <v>1.120501379592956E-4</v>
      </c>
      <c r="N37" s="5">
        <f>SIN(RADIANS(Q4))</f>
        <v>1.745329251319666E-6</v>
      </c>
      <c r="O37" s="5">
        <f>COS(RADIANS(Q4))*COS(D13)</f>
        <v>6.1257422745337693E-17</v>
      </c>
      <c r="P37" s="5">
        <f>-COS(RADIANS(Q4))*SIN(D13)</f>
        <v>0.99999999999847689</v>
      </c>
      <c r="Q37" s="5">
        <f>F13*SIN(RADIANS(Q4))</f>
        <v>1.1205013793472256E-4</v>
      </c>
      <c r="W37" s="15"/>
      <c r="X37" s="5">
        <f>(N31*X$30)+(O31*X$31)+(P31*X$32)+(Q31*X$33)</f>
        <v>1.7450633768472186E-6</v>
      </c>
      <c r="Y37" s="5">
        <f>(N31*Y$30)+(O31*Y$31)+(P31*Y$32)+(Q31*Y$33)</f>
        <v>-0.99999999999847689</v>
      </c>
      <c r="Z37" s="5">
        <f>(N31*Z$30)+(O31*Z$31)+(P31*Z$32)+(Q31*Z$33)</f>
        <v>-3.0463241058093987E-8</v>
      </c>
      <c r="AA37" s="5">
        <f>(N31*AA$30)+(O31*AA$31)+(P31*AA$32)+(Q31*AA$33)</f>
        <v>1.1993578373854105E-4</v>
      </c>
      <c r="AF37" s="15"/>
      <c r="AG37" s="22"/>
      <c r="AH37" s="15"/>
      <c r="AI37" s="15"/>
      <c r="AJ37" s="15"/>
      <c r="AK37" s="15"/>
      <c r="AL37" s="15"/>
      <c r="AM37" s="15"/>
    </row>
    <row r="38" spans="2:39" x14ac:dyDescent="0.25">
      <c r="B38" t="s">
        <v>5</v>
      </c>
      <c r="G38" s="5">
        <f>(G32*B39)+(H32*B40)+(I32*B41)+(J32*B42)</f>
        <v>1.7452406437283661E-2</v>
      </c>
      <c r="H38" s="5">
        <f>(G32*C39)+(H32*C40)+(I32*C41)+(J32*C42)</f>
        <v>1.225055156886709E-16</v>
      </c>
      <c r="I38" s="5">
        <f>(G32*D39)+(H32*D40)+(I32*D41)+(J32*D42)</f>
        <v>-0.99984769515639127</v>
      </c>
      <c r="J38" s="19">
        <f>(G32*E39)+(H32*E40)+(I32*E41)+(J32*E42)</f>
        <v>474.77</v>
      </c>
      <c r="N38" s="5">
        <v>0</v>
      </c>
      <c r="O38" s="5">
        <f>SIN(D13)</f>
        <v>-1</v>
      </c>
      <c r="P38" s="5">
        <f>COS(D13)</f>
        <v>6.1257422745431001E-17</v>
      </c>
      <c r="Q38" s="5">
        <f>E13</f>
        <v>169.77</v>
      </c>
      <c r="S38" t="s">
        <v>27</v>
      </c>
      <c r="W38" s="15"/>
      <c r="X38" s="5">
        <f>(N32*X$30)+(O32*X$31)+(P32*X$32)+(Q32*X$33)</f>
        <v>-1.7454151500686972E-2</v>
      </c>
      <c r="Y38" s="5">
        <f>(N32*Y$30)+(O32*Y$31)+(P32*Y$32)+(Q32*Y$33)</f>
        <v>-1.268256094138251E-16</v>
      </c>
      <c r="Z38" s="5">
        <f>(N32*Z$30)+(O32*Z$31)+(P32*Z$32)+(Q32*Z$33)</f>
        <v>-0.9998476646946729</v>
      </c>
      <c r="AA38" s="5">
        <f>(N32*AA$30)+(O32*AA$31)+(P32*AA$32)+(Q32*AA$33)</f>
        <v>733.61057021784927</v>
      </c>
      <c r="AF38" s="15"/>
      <c r="AG38" s="22"/>
      <c r="AH38" s="22"/>
      <c r="AI38" s="22"/>
      <c r="AJ38" s="15"/>
      <c r="AK38" s="15"/>
      <c r="AL38" s="15"/>
      <c r="AM38" s="15"/>
    </row>
    <row r="39" spans="2:39" x14ac:dyDescent="0.25">
      <c r="B39" s="5">
        <f>COS(C15)</f>
        <v>1.7452406437283598E-2</v>
      </c>
      <c r="C39" s="5">
        <f>-SIN(C15)*COS(D15)</f>
        <v>6.1248092943239885E-17</v>
      </c>
      <c r="D39" s="5">
        <f>SIN(C15)*SIN(D15)</f>
        <v>-0.99984769515639127</v>
      </c>
      <c r="E39" s="5">
        <f>F15*COS(C15)</f>
        <v>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N39" s="5">
        <v>0</v>
      </c>
      <c r="O39" s="5">
        <v>0</v>
      </c>
      <c r="P39" s="5">
        <v>0</v>
      </c>
      <c r="Q39" s="5">
        <v>1</v>
      </c>
      <c r="S39" s="5">
        <f>(S33*N42)+(T33*N43)+(U33*N44)+(V33*N45)</f>
        <v>-6.37803601315639E-15</v>
      </c>
      <c r="T39" s="5">
        <f>(S33*O42)+(T33*O43)+(U33*O44)+(V33*O45)</f>
        <v>0.99999999999847689</v>
      </c>
      <c r="U39" s="5">
        <f>(S33*P42)+(T33*P43)+(U33*P44)+(V33*P45)</f>
        <v>-1.745329251319666E-6</v>
      </c>
      <c r="V39" s="5">
        <f>(S33*Q42)+(T33*Q43)+(U33*Q44)+(V33*Q45)</f>
        <v>64.199999999900271</v>
      </c>
      <c r="W39" s="15"/>
      <c r="X39" s="5">
        <f>(N33*X$30)+(O33*X$31)+(P33*X$32)+(Q33*X$33)</f>
        <v>0</v>
      </c>
      <c r="Y39" s="5">
        <f>(N33*Y$30)+(O33*Y$31)+(P33*Y$32)+(Q33*Y$33)</f>
        <v>0</v>
      </c>
      <c r="Z39" s="5">
        <f>(N33*Z$30)+(O33*Z$31)+(P33*Z$32)+(Q33*Z$33)</f>
        <v>0</v>
      </c>
      <c r="AA39" s="5">
        <f>(N33*AA$30)+(O33*AA$31)+(P33*AA$32)+(Q33*AA$33)</f>
        <v>1</v>
      </c>
      <c r="AD39" s="15"/>
      <c r="AE39" s="15"/>
      <c r="AF39" s="15"/>
      <c r="AG39" s="22"/>
      <c r="AH39" s="22"/>
      <c r="AI39" s="22"/>
      <c r="AJ39" s="15"/>
      <c r="AK39" s="15"/>
      <c r="AL39" s="15"/>
      <c r="AM39" s="15"/>
    </row>
    <row r="40" spans="2:39" x14ac:dyDescent="0.25">
      <c r="B40" s="5">
        <f>SIN(C15)</f>
        <v>-0.99984769515639127</v>
      </c>
      <c r="C40" s="5">
        <f>COS(C15)*COS(D15)</f>
        <v>1.0690894390537627E-18</v>
      </c>
      <c r="D40" s="5">
        <f>-COS(C15)*SIN(D15)</f>
        <v>-1.7452406437283598E-2</v>
      </c>
      <c r="E40" s="5">
        <f>F15*SIN(C15)</f>
        <v>0</v>
      </c>
      <c r="N40" s="13"/>
      <c r="O40" s="13"/>
      <c r="P40" s="13"/>
      <c r="Q40" s="13"/>
      <c r="S40" s="5">
        <f>(S34*N42)+(T34*N43)+(U34*N44)+(V34*N45)</f>
        <v>-6.1268554518344047E-17</v>
      </c>
      <c r="T40" s="5">
        <f>(S34*O42)+(T34*O43)+(U34*O44)+(V34*O45)</f>
        <v>1.745329251319666E-6</v>
      </c>
      <c r="U40" s="5">
        <f>(S34*P42)+(T34*P43)+(U34*P44)+(V34*P45)</f>
        <v>0.99999999999847689</v>
      </c>
      <c r="V40" s="5">
        <f>(S34*Q42)+(T34*Q43)+(U34*Q44)+(V34*Q45)</f>
        <v>1.1205013791603565E-4</v>
      </c>
      <c r="W40" s="15"/>
      <c r="AD40" s="15"/>
      <c r="AE40" s="15"/>
      <c r="AF40" s="15"/>
      <c r="AG40" s="15"/>
      <c r="AH40" s="22"/>
      <c r="AI40" s="22"/>
      <c r="AJ40" s="15"/>
      <c r="AK40" s="15"/>
      <c r="AL40" s="15"/>
      <c r="AM40" s="15"/>
    </row>
    <row r="41" spans="2:39" x14ac:dyDescent="0.2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29</v>
      </c>
      <c r="N41" s="13" t="s">
        <v>4</v>
      </c>
      <c r="O41" s="13"/>
      <c r="P41" s="13"/>
      <c r="Q41" s="13"/>
      <c r="S41" s="5">
        <f>(S35*N42)+(T35*N43)+(U35*N44)+(V35*N45)</f>
        <v>1</v>
      </c>
      <c r="T41" s="5">
        <f>(S35*O42)+(T35*O43)+(U35*O44)+(V35*O45)</f>
        <v>6.3780361200804769E-15</v>
      </c>
      <c r="U41" s="5">
        <f>(S35*P42)+(T35*P43)+(U35*P44)+(V35*P45)</f>
        <v>6.1257422745431001E-17</v>
      </c>
      <c r="V41" s="5">
        <f>(S35*Q42)+(T35*Q43)+(U35*Q44)+(V35*Q45)</f>
        <v>474.77</v>
      </c>
      <c r="W41" s="15"/>
      <c r="X41" t="s">
        <v>21</v>
      </c>
      <c r="AD41" s="15"/>
      <c r="AE41" s="15"/>
      <c r="AF41" s="15"/>
      <c r="AG41" s="15"/>
      <c r="AH41" s="15"/>
      <c r="AI41" s="15"/>
      <c r="AJ41" s="15"/>
      <c r="AK41" s="15"/>
      <c r="AL41" s="15"/>
      <c r="AM41" s="15"/>
    </row>
    <row r="42" spans="2:39" x14ac:dyDescent="0.25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-0.99984769515486838</v>
      </c>
      <c r="H42" s="5">
        <f>(G36*C45)+(H36*C46)+(I36*C47)+(J36*C48)</f>
        <v>1.7452406437257078E-2</v>
      </c>
      <c r="I42" s="5">
        <f>(G36*D45)+(H36*D46)+(I36*D47)+(J36*D48)</f>
        <v>-1.7453292519934436E-6</v>
      </c>
      <c r="J42" s="23">
        <f>(G36*E45)+(H36*E46)+(I36*E47)+(J36*E48)</f>
        <v>68.085429245028777</v>
      </c>
      <c r="N42" s="5">
        <f>COS(RADIANS(Q5))</f>
        <v>-6.3780361200804769E-15</v>
      </c>
      <c r="O42" s="5">
        <f>-SIN(RADIANS(Q5))*COS(D14)</f>
        <v>1</v>
      </c>
      <c r="P42" s="5">
        <f>SIN(RADIANS(Q5))*SIN(D14)</f>
        <v>0</v>
      </c>
      <c r="Q42" s="5">
        <f>F14*COS(RADIANS(Q5))</f>
        <v>-1.9453010166245455E-12</v>
      </c>
      <c r="S42" s="5">
        <f>(S36*N42)+(T36*N43)+(U36*N44)+(V36*N45)</f>
        <v>0</v>
      </c>
      <c r="T42" s="5">
        <f>(S36*O42)+(T36*O43)+(U36*O44)+(V36*O45)</f>
        <v>0</v>
      </c>
      <c r="U42" s="5">
        <f>(S36*P42)+(T36*P43)+(U36*P44)+(V36*P45)</f>
        <v>0</v>
      </c>
      <c r="V42" s="5">
        <f>(S36*Q42)+(T36*Q43)+(U36*Q44)+(V36*Q45)</f>
        <v>1</v>
      </c>
      <c r="W42" s="15"/>
      <c r="X42" s="5">
        <f>COS(RADIANS(J18))*COS(RADIANS(J17))</f>
        <v>1</v>
      </c>
      <c r="Y42" s="5">
        <f>-SIN(RADIANS(J18))*COS(RADIANS(J16))+COS(RADIANS(J18))*SIN(RADIANS(J17))*SIN(RADIANS(J16))</f>
        <v>0</v>
      </c>
      <c r="Z42" s="5">
        <f>SIN(RADIANS(J18))*SIN(RADIANS(J16))+COS(RADIANS(J18))*SIN(RADIANS(J17))*COS(RADIANS(J16))</f>
        <v>0</v>
      </c>
      <c r="AA42" s="5">
        <f>(J13)</f>
        <v>0</v>
      </c>
      <c r="AD42" s="15"/>
      <c r="AE42" s="15"/>
      <c r="AF42" s="15"/>
      <c r="AG42" s="15"/>
      <c r="AH42" s="15"/>
      <c r="AI42" s="15"/>
      <c r="AJ42" s="15"/>
      <c r="AK42" s="15"/>
      <c r="AL42" s="15"/>
      <c r="AM42" s="15"/>
    </row>
    <row r="43" spans="2:39" x14ac:dyDescent="0.25">
      <c r="G43" s="5">
        <f>(G37*B45)+(H37*B46)+(I37*B47)+(J37*B48)</f>
        <v>-1.7450634298957422E-6</v>
      </c>
      <c r="H43" s="5">
        <f>(G37*C45)+(H37*C46)+(I37*C47)+(J37*C48)</f>
        <v>3.0460195411421758E-8</v>
      </c>
      <c r="I43" s="5">
        <f>(G37*D45)+(H37*D46)+(I37*D47)+(J37*D48)</f>
        <v>0.99999999999847689</v>
      </c>
      <c r="J43" s="23">
        <f>(G37*E45)+(H37*E46)+(I37*E47)+(J37*E48)</f>
        <v>1.1883149125010268E-4</v>
      </c>
      <c r="N43" s="5">
        <f>SIN(RADIANS(Q5))</f>
        <v>-1</v>
      </c>
      <c r="O43" s="5">
        <f>COS(RADIANS(Q5))*COS(D14)</f>
        <v>-6.3780361200804769E-15</v>
      </c>
      <c r="P43" s="5">
        <f>-COS(RADIANS(Q5))*SIN(D14)</f>
        <v>0</v>
      </c>
      <c r="Q43" s="5">
        <f>F14*SIN(RADIANS(Q5))</f>
        <v>-305</v>
      </c>
      <c r="W43" s="15"/>
      <c r="X43" s="5">
        <f>SIN(RADIANS(J18))*COS(RADIANS(J17))</f>
        <v>0</v>
      </c>
      <c r="Y43" s="5">
        <f>COS(RADIANS(J18))*COS(RADIANS(J16))+SIN(RADIANS(J18))*SIN(RADIANS(J17))*SIN(RADIANS(J16))</f>
        <v>1</v>
      </c>
      <c r="Z43" s="5">
        <f>-COS(RADIANS(J18))*SIN(RADIANS(J16))+SIN(RADIANS(J18))*SIN(RADIANS(J17))*COS(RADIANS(J16))</f>
        <v>0</v>
      </c>
      <c r="AA43" s="5">
        <f>(J14)</f>
        <v>0</v>
      </c>
      <c r="AD43" s="15"/>
      <c r="AE43" s="15"/>
      <c r="AF43" s="15"/>
      <c r="AG43" s="15"/>
      <c r="AH43" s="15"/>
      <c r="AI43" s="15"/>
      <c r="AJ43" s="15"/>
      <c r="AK43" s="15"/>
      <c r="AL43" s="15"/>
      <c r="AM43" s="15"/>
    </row>
    <row r="44" spans="2:39" x14ac:dyDescent="0.25">
      <c r="B44" t="s">
        <v>6</v>
      </c>
      <c r="G44" s="5">
        <f>(G38*B45)+(H38*B46)+(I38*B47)+(J38*B48)</f>
        <v>1.7452406437283661E-2</v>
      </c>
      <c r="H44" s="5">
        <f>(G38*C45)+(H38*C46)+(I38*C47)+(J38*C48)</f>
        <v>0.99984769515639127</v>
      </c>
      <c r="I44" s="5">
        <f>(G38*D45)+(H38*D46)+(I38*D47)+(J38*D48)</f>
        <v>6.1257422745431013E-17</v>
      </c>
      <c r="J44" s="23">
        <f>(G38*E45)+(H38*E46)+(I38*E47)+(J38*E48)</f>
        <v>697.36609237266737</v>
      </c>
      <c r="N44" s="5">
        <v>0</v>
      </c>
      <c r="O44" s="5">
        <f>SIN(D14)</f>
        <v>0</v>
      </c>
      <c r="P44" s="5">
        <f>COS(D14)</f>
        <v>1</v>
      </c>
      <c r="Q44" s="5">
        <f>E14</f>
        <v>0</v>
      </c>
      <c r="S44" t="s">
        <v>28</v>
      </c>
      <c r="W44" s="15"/>
      <c r="X44" s="5">
        <f>-SIN(RADIANS(J18))</f>
        <v>0</v>
      </c>
      <c r="Y44" s="5">
        <f>COS(RADIANS(J17))*SIN(RADIANS(J16))</f>
        <v>0</v>
      </c>
      <c r="Z44" s="5">
        <f>COS(RADIANS(J17))*COS(RADIANS(J16))</f>
        <v>1</v>
      </c>
      <c r="AA44" s="5">
        <f>(J15)</f>
        <v>0</v>
      </c>
      <c r="AD44" s="15"/>
      <c r="AE44" s="15"/>
      <c r="AF44" s="15"/>
      <c r="AG44" s="15"/>
      <c r="AH44" s="15"/>
      <c r="AI44" s="15"/>
      <c r="AJ44" s="15"/>
      <c r="AK44" s="15"/>
      <c r="AL44" s="15"/>
      <c r="AM44" s="15"/>
    </row>
    <row r="45" spans="2:39" x14ac:dyDescent="0.25">
      <c r="B45" s="5">
        <f>COS(C16)</f>
        <v>1</v>
      </c>
      <c r="C45" s="5">
        <f>-SIN(C16)*COS(D16)</f>
        <v>0</v>
      </c>
      <c r="D45" s="5">
        <f>SIN(C16)*SIN(D16)</f>
        <v>0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N45" s="5">
        <v>0</v>
      </c>
      <c r="O45" s="5">
        <v>0</v>
      </c>
      <c r="P45" s="5">
        <v>0</v>
      </c>
      <c r="Q45" s="5">
        <v>1</v>
      </c>
      <c r="S45" s="5">
        <f>(S39*N48)+(T39*N49)+(U39*N50)+(V39*N51)</f>
        <v>-0.99984769515486893</v>
      </c>
      <c r="T45" s="5">
        <f>(S39*O48)+(T39*O49)+(U39*O50)+(V39*O51)</f>
        <v>-1.7453292513185968E-6</v>
      </c>
      <c r="U45" s="5">
        <f>(S39*P48)+(T39*P49)+(U39*P50)+(V39*P51)</f>
        <v>-1.7452406437223331E-2</v>
      </c>
      <c r="V45" s="19">
        <f>(S39*Q48)+(T39*Q49)+(U39*Q50)+(V39*Q51)</f>
        <v>64.199999999900271</v>
      </c>
      <c r="W45" s="15"/>
      <c r="X45" s="5">
        <v>0</v>
      </c>
      <c r="Y45" s="5">
        <v>0</v>
      </c>
      <c r="Z45" s="5">
        <v>0</v>
      </c>
      <c r="AA45" s="5">
        <v>1</v>
      </c>
      <c r="AD45" s="46"/>
      <c r="AE45" s="15"/>
      <c r="AF45" s="15"/>
      <c r="AG45" s="15"/>
      <c r="AH45" s="15"/>
      <c r="AI45" s="15"/>
      <c r="AJ45" s="15"/>
      <c r="AK45" s="15"/>
      <c r="AL45" s="15"/>
      <c r="AM45" s="15"/>
    </row>
    <row r="46" spans="2:39" x14ac:dyDescent="0.25">
      <c r="B46" s="5">
        <f>SIN(C16)</f>
        <v>0</v>
      </c>
      <c r="C46" s="5">
        <f>COS(C16)*COS(D16)</f>
        <v>6.1257422745431001E-17</v>
      </c>
      <c r="D46" s="5">
        <f>-COS(C16)*SIN(D16)</f>
        <v>1</v>
      </c>
      <c r="E46" s="5">
        <f>F16*SIN(C16)</f>
        <v>0</v>
      </c>
      <c r="N46" s="13"/>
      <c r="O46" s="13"/>
      <c r="P46" s="13"/>
      <c r="Q46" s="13"/>
      <c r="S46" s="5">
        <f>(S40*N48)+(T40*N49)+(U40*N50)+(V40*N51)</f>
        <v>-1.7450634292220681E-6</v>
      </c>
      <c r="T46" s="5">
        <f>(S40*O48)+(T40*O49)+(U40*O50)+(V40*O51)</f>
        <v>0.99999999999847689</v>
      </c>
      <c r="U46" s="5">
        <f>(S40*P48)+(T40*P49)+(U40*P50)+(V40*P51)</f>
        <v>-3.0460195338346393E-8</v>
      </c>
      <c r="V46" s="19">
        <f>(S40*Q48)+(T40*Q49)+(U40*Q50)+(V40*Q51)</f>
        <v>1.1205013791603565E-4</v>
      </c>
      <c r="W46" s="15"/>
      <c r="AD46" s="47"/>
      <c r="AE46" s="15"/>
      <c r="AF46" s="15"/>
      <c r="AG46" s="15"/>
      <c r="AH46" s="15"/>
      <c r="AI46" s="15"/>
      <c r="AJ46" s="15"/>
      <c r="AK46" s="15"/>
      <c r="AL46" s="15"/>
      <c r="AM46" s="15"/>
    </row>
    <row r="47" spans="2:39" ht="15.75" thickBot="1" x14ac:dyDescent="0.3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-222.63</v>
      </c>
      <c r="G47" t="s">
        <v>38</v>
      </c>
      <c r="N47" s="13" t="s">
        <v>5</v>
      </c>
      <c r="O47" s="13"/>
      <c r="P47" s="13"/>
      <c r="Q47" s="13"/>
      <c r="S47" s="5">
        <f>(S41*N48)+(T41*N49)+(U41*N50)+(V41*N51)</f>
        <v>1.7452406437249914E-2</v>
      </c>
      <c r="T47" s="5">
        <f>(S41*O48)+(T41*O49)+(U41*O50)+(V41*O51)</f>
        <v>1.2250551568867092E-16</v>
      </c>
      <c r="U47" s="5">
        <f>(S41*P48)+(T41*P49)+(U41*P50)+(V41*P51)</f>
        <v>-0.99984769515639182</v>
      </c>
      <c r="V47" s="19">
        <f>(S41*Q48)+(T41*Q49)+(U41*Q50)+(V41*Q51)</f>
        <v>474.77</v>
      </c>
      <c r="W47" s="15"/>
      <c r="X47" t="s">
        <v>36</v>
      </c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  <row r="48" spans="2:39" x14ac:dyDescent="0.2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-0.99984766469315001</v>
      </c>
      <c r="H48" s="5">
        <f>(G42*C51)+(H42*C52)+(I42*C53)+(J42*C54)</f>
        <v>-1.7453292519923744E-6</v>
      </c>
      <c r="I48" s="40">
        <f>(G42*D51)+(H42*D52)+(I42*D53)+(J42*D54)</f>
        <v>-1.7454151500660386E-2</v>
      </c>
      <c r="J48" s="41">
        <f>(G42*E51)+(H42*E52)+(I42*E53)+(J42*E54)</f>
        <v>68.085429245028777</v>
      </c>
      <c r="N48" s="5">
        <f>COS(RADIANS((Q6)-90))</f>
        <v>1.745240643725629E-2</v>
      </c>
      <c r="O48" s="5">
        <f>-SIN(RADIANS((Q6)-90))*COS(D15)</f>
        <v>6.124809294323991E-17</v>
      </c>
      <c r="P48" s="5">
        <f>SIN(RADIANS((Q6)-90))*SIN(D15)</f>
        <v>-0.99984769515639171</v>
      </c>
      <c r="Q48" s="5">
        <f>F15*COS(RADIANS((Q6)-90))</f>
        <v>0</v>
      </c>
      <c r="S48" s="5">
        <f>(S42*N48)+(T42*N49)+(U42*N50)+(V42*N51)</f>
        <v>0</v>
      </c>
      <c r="T48" s="5">
        <f>(S42*O48)+(T42*O49)+(U42*O50)+(V42*O51)</f>
        <v>0</v>
      </c>
      <c r="U48" s="5">
        <f>(S42*P48)+(T42*P49)+(U42*P50)+(V42*P51)</f>
        <v>0</v>
      </c>
      <c r="V48" s="5">
        <f>(S42*Q48)+(T42*Q49)+(U42*Q50)+(V42*Q51)</f>
        <v>1</v>
      </c>
      <c r="W48" s="15"/>
      <c r="X48" s="5">
        <f>X42</f>
        <v>1</v>
      </c>
      <c r="Y48" s="5">
        <f>X43</f>
        <v>0</v>
      </c>
      <c r="Z48" s="5">
        <f>X44</f>
        <v>0</v>
      </c>
      <c r="AA48" s="5">
        <f>(X48*AA$42)+(Y48*AA$43)+(Z48*AA$44)</f>
        <v>0</v>
      </c>
      <c r="AD48" s="15"/>
      <c r="AE48" s="15"/>
      <c r="AF48" s="15"/>
      <c r="AG48" s="15"/>
      <c r="AH48" s="15"/>
      <c r="AI48" s="15"/>
      <c r="AJ48" s="15"/>
      <c r="AK48" s="15"/>
      <c r="AL48" s="15"/>
      <c r="AM48" s="15"/>
    </row>
    <row r="49" spans="2:39" x14ac:dyDescent="0.25">
      <c r="G49" s="5">
        <f>(G43*B51)+(H43*B52)+(I43*B53)+(J43*B54)</f>
        <v>-1.7450633767300142E-6</v>
      </c>
      <c r="H49" s="5">
        <f>(G43*C51)+(H43*C52)+(I43*C53)+(J43*C54)</f>
        <v>0.99999999999847689</v>
      </c>
      <c r="I49" s="40">
        <f>(G43*D51)+(H43*D52)+(I43*D53)+(J43*D54)</f>
        <v>-3.046324106036872E-8</v>
      </c>
      <c r="J49" s="42">
        <f>(G43*E51)+(H43*E52)+(I43*E53)+(J43*E54)</f>
        <v>1.1883149125010268E-4</v>
      </c>
      <c r="N49" s="5">
        <f>SIN(RADIANS((Q6)-90))</f>
        <v>-0.99984769515639171</v>
      </c>
      <c r="O49" s="5">
        <f>COS(RADIANS((Q6)-90))*COS(D15)</f>
        <v>1.0690894390520898E-18</v>
      </c>
      <c r="P49" s="5">
        <f>-COS(RADIANS((Q6)-90))*SIN(D15)</f>
        <v>-1.745240643725629E-2</v>
      </c>
      <c r="Q49" s="5">
        <f>F15*SIN(RADIANS((Q6)-90))</f>
        <v>0</v>
      </c>
      <c r="W49" s="15"/>
      <c r="X49" s="5">
        <f>Y42</f>
        <v>0</v>
      </c>
      <c r="Y49" s="5">
        <f>Y43</f>
        <v>1</v>
      </c>
      <c r="Z49" s="5">
        <f>Y44</f>
        <v>0</v>
      </c>
      <c r="AA49" s="5">
        <f>(X49*AA$42)+(Y49*AA$43)+(Z49*AA$44)</f>
        <v>0</v>
      </c>
      <c r="AD49" s="15"/>
      <c r="AE49" s="15"/>
      <c r="AF49" s="15"/>
      <c r="AG49" s="15"/>
      <c r="AH49" s="15"/>
      <c r="AI49" s="15"/>
      <c r="AJ49" s="15"/>
      <c r="AK49" s="15"/>
      <c r="AL49" s="15"/>
      <c r="AM49" s="15"/>
    </row>
    <row r="50" spans="2:39" ht="15.75" thickBot="1" x14ac:dyDescent="0.3">
      <c r="B50" t="s">
        <v>7</v>
      </c>
      <c r="G50" s="5">
        <f>(G44*B51)+(H44*B52)+(I44*B53)+(J44*B54)</f>
        <v>1.7454151500686972E-2</v>
      </c>
      <c r="H50" s="5">
        <f>(G44*C51)+(H44*C52)+(I44*C53)+(J44*C54)</f>
        <v>1.2250551382266453E-16</v>
      </c>
      <c r="I50" s="40">
        <f>(G44*D51)+(H44*D52)+(I44*D53)+(J44*D54)</f>
        <v>-0.9998476646946729</v>
      </c>
      <c r="J50" s="43">
        <f>(G44*E51)+(H44*E52)+(I44*E53)+(J44*E54)</f>
        <v>697.36609237266737</v>
      </c>
      <c r="N50" s="5">
        <v>0</v>
      </c>
      <c r="O50" s="5">
        <f>SIN(D15)</f>
        <v>1</v>
      </c>
      <c r="P50" s="5">
        <f>COS(D15)</f>
        <v>6.1257422745431001E-17</v>
      </c>
      <c r="Q50" s="5">
        <f>E15</f>
        <v>0</v>
      </c>
      <c r="S50" t="s">
        <v>59</v>
      </c>
      <c r="W50" s="15"/>
      <c r="X50" s="5">
        <f>Z42</f>
        <v>0</v>
      </c>
      <c r="Y50" s="5">
        <f>Z43</f>
        <v>0</v>
      </c>
      <c r="Z50" s="5">
        <f>Z44</f>
        <v>1</v>
      </c>
      <c r="AA50" s="5">
        <f>(X50*AA$42)+(Y50*AA$43)+(Z50*AA$44)</f>
        <v>0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</row>
    <row r="51" spans="2:39" x14ac:dyDescent="0.25">
      <c r="B51" s="5">
        <f>COS(C17)</f>
        <v>0.99999999999847689</v>
      </c>
      <c r="C51" s="5">
        <f>-SIN(C17)*COS(D17)</f>
        <v>-1.0691437181932925E-22</v>
      </c>
      <c r="D51" s="5">
        <f>SIN(C17)*SIN(D17)</f>
        <v>1.7453292519934436E-6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29">
        <f>(G45*E51)+(H45*E52)+(I45*E53)+(J45*E54)</f>
        <v>1</v>
      </c>
      <c r="N51" s="5">
        <v>0</v>
      </c>
      <c r="O51" s="5">
        <v>0</v>
      </c>
      <c r="P51" s="5">
        <v>0</v>
      </c>
      <c r="Q51" s="5">
        <v>1</v>
      </c>
      <c r="S51" s="5">
        <f>S45</f>
        <v>-0.99984769515486893</v>
      </c>
      <c r="T51" s="5">
        <f>S46</f>
        <v>-1.7450634292220681E-6</v>
      </c>
      <c r="U51" s="5">
        <f>S47</f>
        <v>1.7452406437249914E-2</v>
      </c>
      <c r="W51" s="15"/>
      <c r="X51" s="5">
        <v>0</v>
      </c>
      <c r="Y51" s="5">
        <v>0</v>
      </c>
      <c r="Z51" s="5">
        <v>0</v>
      </c>
      <c r="AA51" s="5">
        <v>1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</row>
    <row r="52" spans="2:39" x14ac:dyDescent="0.25">
      <c r="B52" s="5">
        <f>SIN(C17)</f>
        <v>1.7453292519934436E-6</v>
      </c>
      <c r="C52" s="5">
        <f>COS(C17)*COS(D17)</f>
        <v>6.1257422745337693E-17</v>
      </c>
      <c r="D52" s="5">
        <f>-COS(C17)*SIN(D17)</f>
        <v>-0.99999999999847689</v>
      </c>
      <c r="E52" s="5">
        <f>F17*SIN(C17)</f>
        <v>0</v>
      </c>
      <c r="S52" s="5">
        <f>T45</f>
        <v>-1.7453292513185968E-6</v>
      </c>
      <c r="T52" s="5">
        <f>T46</f>
        <v>0.99999999999847689</v>
      </c>
      <c r="U52" s="5">
        <f>T47</f>
        <v>1.2250551568867092E-16</v>
      </c>
      <c r="W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</row>
    <row r="53" spans="2:39" x14ac:dyDescent="0.25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30</v>
      </c>
      <c r="S53" s="5">
        <f>U45</f>
        <v>-1.7452406437223331E-2</v>
      </c>
      <c r="T53" s="5">
        <f>U46</f>
        <v>-3.0460195338346393E-8</v>
      </c>
      <c r="U53" s="5">
        <f>U47</f>
        <v>-0.99984769515639182</v>
      </c>
      <c r="W53" s="15"/>
      <c r="X53" t="s">
        <v>30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</row>
    <row r="54" spans="2:39" x14ac:dyDescent="0.25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0.99984766469315001</v>
      </c>
      <c r="H54" s="5">
        <f>(G48*C57)+(H48*C58)+(I48*C59)+(J48*C60)</f>
        <v>1.7453292521148706E-6</v>
      </c>
      <c r="I54" s="5">
        <f>(G48*D57)+(H48*D58)+(I48*D59)+(J48*D60)</f>
        <v>-1.7454151500660386E-2</v>
      </c>
      <c r="J54" s="18">
        <f>(G48*E57)+(H48*E58)+(I48*E59)+(J48*E60)</f>
        <v>68.718142236927719</v>
      </c>
      <c r="W54" s="15"/>
      <c r="X54" s="5">
        <f>(X36*X$48)+(Y36*X$49)+(Z36*X$50)+(AA36*X$51)</f>
        <v>0.99984766469315001</v>
      </c>
      <c r="Y54" s="5">
        <f>(X36*Y$48)+(Y36*Y$49)+(Z36*Y$50)+(AA36*Y$51)</f>
        <v>1.7453292521095214E-6</v>
      </c>
      <c r="Z54" s="5">
        <f>(X36*Z$48)+(Y36*Z$49)+(Z36*Z$50)+(AA36*Z$51)</f>
        <v>-1.7454151500660386E-2</v>
      </c>
      <c r="AA54" s="5">
        <f>(X36*AA$48)+(Y36*AA$49)+(Z36*AA$50)+(AA36*AA$51)</f>
        <v>68.718142236927719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</row>
    <row r="55" spans="2:39" x14ac:dyDescent="0.25">
      <c r="G55" s="5">
        <f>(G49*B57)+(H49*B58)+(I49*B59)+(J49*B60)</f>
        <v>1.7450633768525291E-6</v>
      </c>
      <c r="H55" s="5">
        <f>(G49*C57)+(H49*C58)+(I49*C59)+(J49*C60)</f>
        <v>-0.99999999999847689</v>
      </c>
      <c r="I55" s="5">
        <f>(G49*D57)+(H49*D58)+(I49*D59)+(J49*D60)</f>
        <v>-3.046324106036872E-8</v>
      </c>
      <c r="J55" s="18">
        <f>(G49*E57)+(H49*E58)+(I49*E59)+(J49*E60)</f>
        <v>1.1993578373854105E-4</v>
      </c>
      <c r="X55" s="5">
        <f>(X37*X$48)+(Y37*X$49)+(Z37*X$50)+(AA37*X$51)</f>
        <v>1.7450633768472186E-6</v>
      </c>
      <c r="Y55" s="5">
        <f>(X37*Y$48)+(Y37*Y$49)+(Z37*Y$50)+(AA37*Y$51)</f>
        <v>-0.99999999999847689</v>
      </c>
      <c r="Z55" s="5">
        <f>(X37*Z$48)+(Y37*Z$49)+(Z37*Z$50)+(AA37*Z$51)</f>
        <v>-3.0463241058093987E-8</v>
      </c>
      <c r="AA55" s="5">
        <f>(X37*AA$48)+(Y37*AA$49)+(Z37*AA$50)+(AA37*AA$51)</f>
        <v>1.1993578373854105E-4</v>
      </c>
      <c r="AD55" s="15"/>
      <c r="AE55" s="15"/>
      <c r="AF55" s="15"/>
      <c r="AG55" s="15"/>
      <c r="AH55" s="15"/>
      <c r="AI55" s="15"/>
      <c r="AJ55" s="15"/>
      <c r="AK55" s="15"/>
      <c r="AL55" s="15"/>
      <c r="AM55" s="15"/>
    </row>
    <row r="56" spans="2:39" x14ac:dyDescent="0.25">
      <c r="B56" t="s">
        <v>8</v>
      </c>
      <c r="G56" s="5">
        <f>(G50*B57)+(H50*B58)+(I50*B59)+(J50*B60)</f>
        <v>-1.7454151500686972E-2</v>
      </c>
      <c r="H56" s="5">
        <f>(G50*C57)+(H50*C58)+(I50*C59)+(J50*C60)</f>
        <v>-1.2464390649694529E-16</v>
      </c>
      <c r="I56" s="5">
        <f>(G50*D57)+(H50*D58)+(I50*D59)+(J50*D60)</f>
        <v>-0.9998476646946729</v>
      </c>
      <c r="J56" s="18">
        <f>(G50*E57)+(H50*E58)+(I50*E59)+(J50*E60)</f>
        <v>733.61057021784927</v>
      </c>
      <c r="X56" s="5">
        <f>(X38*X$48)+(Y38*X$49)+(Z38*X$50)+(AA38*X$51)</f>
        <v>-1.7454151500686972E-2</v>
      </c>
      <c r="Y56" s="5">
        <f>(X38*Y$48)+(Y38*Y$49)+(Z38*Y$50)+(AA38*Y$51)</f>
        <v>-1.268256094138251E-16</v>
      </c>
      <c r="Z56" s="5">
        <f>(X38*Z$48)+(Y38*Z$49)+(Z38*Z$50)+(AA38*Z$51)</f>
        <v>-0.9998476646946729</v>
      </c>
      <c r="AA56" s="5">
        <f>(X38*AA$48)+(Y38*AA$49)+(Z38*AA$50)+(AA38*AA$51)</f>
        <v>733.61057021784927</v>
      </c>
      <c r="AD56" s="15"/>
      <c r="AE56" s="15"/>
      <c r="AF56" s="15"/>
      <c r="AG56" s="15"/>
      <c r="AH56" s="15"/>
      <c r="AI56" s="15"/>
      <c r="AJ56" s="15"/>
      <c r="AK56" s="15"/>
      <c r="AL56" s="15"/>
      <c r="AM56" s="15"/>
    </row>
    <row r="57" spans="2:39" x14ac:dyDescent="0.25">
      <c r="B57" s="5">
        <f>COS(C18)</f>
        <v>-1</v>
      </c>
      <c r="C57" s="5">
        <f>-SIN(C18)*COS(D18)</f>
        <v>-1.22514845490862E-16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X57" s="5">
        <f>(X39*X$48)+(Y39*X$49)+(Z39*X$50)+(AA39*X$51)</f>
        <v>0</v>
      </c>
      <c r="Y57" s="5">
        <f>(X39*Y$48)+(Y39*Y$49)+(Z39*Y$50)+(AA39*Y$51)</f>
        <v>0</v>
      </c>
      <c r="Z57" s="5">
        <f>(X39*Z$48)+(Y39*Z$49)+(Z39*Z$50)+(AA39*Z$51)</f>
        <v>0</v>
      </c>
      <c r="AA57" s="5">
        <f>(X39*AA$48)+(Y39*AA$49)+(Z39*AA$50)+(AA39*AA$51)</f>
        <v>1</v>
      </c>
      <c r="AD57" s="15"/>
      <c r="AE57" s="15"/>
      <c r="AF57" s="15"/>
      <c r="AG57" s="15"/>
      <c r="AH57" s="15"/>
      <c r="AI57" s="15"/>
      <c r="AJ57" s="15"/>
      <c r="AK57" s="15"/>
      <c r="AL57" s="15"/>
      <c r="AM57" s="15"/>
    </row>
    <row r="58" spans="2:39" x14ac:dyDescent="0.25">
      <c r="B58" s="5">
        <f>SIN(C18)</f>
        <v>1.22514845490862E-16</v>
      </c>
      <c r="C58" s="5">
        <f>COS(C18)*COS(D18)</f>
        <v>-1</v>
      </c>
      <c r="D58" s="5">
        <f>-COS(C18)*SIN(D18)</f>
        <v>0</v>
      </c>
      <c r="E58" s="5">
        <f>F18*SIN(C18)</f>
        <v>0</v>
      </c>
      <c r="AD58" s="15"/>
      <c r="AE58" s="15"/>
      <c r="AF58" s="15"/>
      <c r="AG58" s="15"/>
      <c r="AH58" s="15"/>
      <c r="AI58" s="15"/>
      <c r="AJ58" s="15"/>
      <c r="AK58" s="15"/>
      <c r="AL58" s="15"/>
      <c r="AM58" s="15"/>
    </row>
    <row r="59" spans="2:39" x14ac:dyDescent="0.25">
      <c r="B59" s="5">
        <v>0</v>
      </c>
      <c r="C59" s="5">
        <f>SIN(D18)</f>
        <v>0</v>
      </c>
      <c r="D59" s="5">
        <f>COS(D18)</f>
        <v>1</v>
      </c>
      <c r="E59" s="5">
        <f>E18</f>
        <v>-36.25</v>
      </c>
      <c r="G59" t="s">
        <v>31</v>
      </c>
      <c r="X59" s="15" t="s">
        <v>37</v>
      </c>
      <c r="Y59" s="15"/>
      <c r="Z59" s="15"/>
      <c r="AA59" s="22"/>
      <c r="AD59" s="15"/>
      <c r="AE59" s="15"/>
      <c r="AF59" s="15"/>
      <c r="AG59" s="15"/>
      <c r="AH59" s="15"/>
      <c r="AI59" s="15"/>
      <c r="AJ59" s="15"/>
      <c r="AK59" s="15"/>
      <c r="AL59" s="15"/>
      <c r="AM59" s="15"/>
    </row>
    <row r="60" spans="2:39" x14ac:dyDescent="0.25">
      <c r="B60" s="5">
        <v>0</v>
      </c>
      <c r="C60" s="5">
        <v>0</v>
      </c>
      <c r="D60" s="5">
        <v>0</v>
      </c>
      <c r="E60" s="5">
        <v>1</v>
      </c>
      <c r="G60" s="19">
        <f>(G54*B63)+(H54*B64)+(I54*B65)+(J54*B66)</f>
        <v>0.99984766469315001</v>
      </c>
      <c r="H60" s="19">
        <f>(G54*C63)+(H54*C64)+(I54*C65)+(J54*C66)</f>
        <v>1.7453292521148706E-6</v>
      </c>
      <c r="I60" s="19">
        <f>(G54*D63)+(H54*D64)+(I54*D65)+(J54*D66)</f>
        <v>-1.7454151500660386E-2</v>
      </c>
      <c r="J60" s="18">
        <f>(G54*E63)+(H54*E64)+(I54*E65)+(J54*E66)</f>
        <v>68.718142236927719</v>
      </c>
      <c r="X60" s="18">
        <f>COS(RADIANS(180))</f>
        <v>-1</v>
      </c>
      <c r="Y60" s="18">
        <f>SIN(RADIANS(180))</f>
        <v>1.22514845490862E-16</v>
      </c>
      <c r="Z60" s="18">
        <v>0</v>
      </c>
      <c r="AA60" s="18">
        <v>0</v>
      </c>
      <c r="AD60" s="15"/>
      <c r="AE60" s="15"/>
      <c r="AF60" s="15"/>
      <c r="AG60" s="15"/>
      <c r="AH60" s="15"/>
      <c r="AI60" s="15"/>
      <c r="AJ60" s="15"/>
      <c r="AK60" s="15"/>
      <c r="AL60" s="15"/>
      <c r="AM60" s="15"/>
    </row>
    <row r="61" spans="2:39" x14ac:dyDescent="0.25">
      <c r="G61" s="19">
        <f>(G55*B63)+(H55*B64)+(I55*B65)+(J55*B66)</f>
        <v>1.7450633768525291E-6</v>
      </c>
      <c r="H61" s="19">
        <f>(G55*C63)+(H55*C64)+(I55*C65)+(J55*C66)</f>
        <v>-0.99999999999847689</v>
      </c>
      <c r="I61" s="19">
        <f>(G55*D63)+(H55*D64)+(I55*D65)+(J55*D66)</f>
        <v>-3.046324106036872E-8</v>
      </c>
      <c r="J61" s="18">
        <f>(G55*E63)+(H55*E64)+(I55*E65)+(J55*E66)</f>
        <v>1.1993578373854105E-4</v>
      </c>
      <c r="X61" s="18">
        <f>-SIN(RADIANS(180))*COS(D18)</f>
        <v>-1.22514845490862E-16</v>
      </c>
      <c r="Y61" s="18">
        <f>COS(RADIANS(180))*COS(D18)</f>
        <v>-1</v>
      </c>
      <c r="Z61" s="18">
        <f>SIN(D18)</f>
        <v>0</v>
      </c>
      <c r="AA61" s="18">
        <v>0</v>
      </c>
      <c r="AD61" s="15"/>
      <c r="AE61" s="15"/>
      <c r="AF61" s="15"/>
      <c r="AG61" s="15"/>
      <c r="AH61" s="15"/>
      <c r="AI61" s="15"/>
      <c r="AJ61" s="15"/>
      <c r="AK61" s="15"/>
      <c r="AL61" s="15"/>
      <c r="AM61" s="15"/>
    </row>
    <row r="62" spans="2:39" x14ac:dyDescent="0.25">
      <c r="B62" t="s">
        <v>21</v>
      </c>
      <c r="G62" s="19">
        <f>(G56*B63)+(H56*B64)+(I56*B65)+(J56*B66)</f>
        <v>-1.7454151500686972E-2</v>
      </c>
      <c r="H62" s="19">
        <f>(G56*C63)+(H56*C64)+(I56*C65)+(J56*C66)</f>
        <v>-1.2464390649694529E-16</v>
      </c>
      <c r="I62" s="19">
        <f>(G56*D63)+(H56*D64)+(I56*D65)+(J56*D66)</f>
        <v>-0.9998476646946729</v>
      </c>
      <c r="J62" s="18">
        <f>(G56*E63)+(H56*E64)+(I56*E65)+(J56*E66)</f>
        <v>733.61057021784927</v>
      </c>
      <c r="X62" s="18">
        <f>SIN(RADIANS(180))*SIN(D18)</f>
        <v>0</v>
      </c>
      <c r="Y62" s="18">
        <f>-COS(RADIANS(180))*SIN(D18)</f>
        <v>0</v>
      </c>
      <c r="Z62" s="18">
        <f>COS(D18)</f>
        <v>1</v>
      </c>
      <c r="AA62" s="18">
        <f>-E18</f>
        <v>36.25</v>
      </c>
      <c r="AD62" s="15"/>
      <c r="AE62" s="15"/>
      <c r="AF62" s="15"/>
      <c r="AG62" s="22"/>
      <c r="AH62" s="15"/>
      <c r="AI62" s="15"/>
      <c r="AJ62" s="15"/>
      <c r="AK62" s="15"/>
      <c r="AL62" s="15"/>
      <c r="AM62" s="15"/>
    </row>
    <row r="63" spans="2:39" x14ac:dyDescent="0.25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-(J13)</f>
        <v>0</v>
      </c>
      <c r="G63" s="18">
        <f>(G57*B63)+(H57*B64)+(I57*B65)+(J57*B66)</f>
        <v>0</v>
      </c>
      <c r="H63" s="18">
        <f>(G57*C63)+(H57*C64)+(I57*C65)+(J57*C66)</f>
        <v>0</v>
      </c>
      <c r="I63" s="18">
        <f>(G57*D63)+(H57*D64)+(I57*D65)+(J57*D66)</f>
        <v>0</v>
      </c>
      <c r="J63" s="18">
        <f>(G57*E63)+(H57*E64)+(I57*E65)+(J57*E66)</f>
        <v>1</v>
      </c>
      <c r="X63" s="18">
        <v>0</v>
      </c>
      <c r="Y63" s="18">
        <v>0</v>
      </c>
      <c r="Z63" s="18">
        <v>0</v>
      </c>
      <c r="AA63" s="18">
        <v>1</v>
      </c>
      <c r="AD63" s="15"/>
      <c r="AE63" s="15"/>
      <c r="AF63" s="15"/>
      <c r="AG63" s="15"/>
      <c r="AH63" s="15"/>
      <c r="AI63" s="15"/>
      <c r="AJ63" s="15"/>
      <c r="AK63" s="15"/>
      <c r="AL63" s="15"/>
      <c r="AM63" s="15"/>
    </row>
    <row r="64" spans="2:39" x14ac:dyDescent="0.25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-(J14)</f>
        <v>0</v>
      </c>
      <c r="AD64" s="15"/>
      <c r="AE64" s="15"/>
      <c r="AF64" s="15"/>
      <c r="AG64" s="15"/>
      <c r="AH64" s="15"/>
      <c r="AI64" s="15"/>
      <c r="AJ64" s="15"/>
      <c r="AK64" s="15"/>
      <c r="AL64" s="15"/>
      <c r="AM64" s="15"/>
    </row>
    <row r="65" spans="2:39" ht="15.75" thickBot="1" x14ac:dyDescent="0.3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-(J15)</f>
        <v>0</v>
      </c>
      <c r="X65" t="s">
        <v>38</v>
      </c>
      <c r="AF65" s="15"/>
      <c r="AG65" s="15"/>
      <c r="AH65" s="15"/>
      <c r="AI65" s="15"/>
      <c r="AJ65" s="15"/>
      <c r="AK65" s="15"/>
      <c r="AL65" s="15"/>
      <c r="AM65" s="15"/>
    </row>
    <row r="66" spans="2:39" x14ac:dyDescent="0.25">
      <c r="B66" s="5">
        <v>0</v>
      </c>
      <c r="C66" s="5">
        <v>0</v>
      </c>
      <c r="D66" s="5">
        <v>0</v>
      </c>
      <c r="E66" s="5">
        <v>1</v>
      </c>
      <c r="X66" s="5">
        <f>(X54*X$60)+(Y54*X$61)+(Z54*X$62)+(AA54*X$63)</f>
        <v>-0.99984766469315001</v>
      </c>
      <c r="Y66" s="5">
        <f>(X54*Y$60)+(Y54*Y$61)+(Z54*Y$62)+(AA54*Y$63)</f>
        <v>-1.7453292519870252E-6</v>
      </c>
      <c r="Z66" s="40">
        <f>(X54*Z$60)+(Y54*Z$61)+(Z54*Z$62)+(AA54*Z$63)</f>
        <v>-1.7454151500660386E-2</v>
      </c>
      <c r="AA66" s="41">
        <f>(X54*AA$60)+(Y54*AA$61)+(Z54*AA$62)+(AA54*AA$63)</f>
        <v>68.085429245028777</v>
      </c>
      <c r="AF66" s="15"/>
      <c r="AG66" s="15"/>
      <c r="AH66" s="15"/>
      <c r="AI66" s="15"/>
      <c r="AJ66" s="15"/>
      <c r="AK66" s="15"/>
      <c r="AL66" s="15"/>
      <c r="AM66" s="15"/>
    </row>
    <row r="67" spans="2:39" x14ac:dyDescent="0.25">
      <c r="X67" s="5">
        <f>(X55*X$60)+(Y55*X$61)+(Z55*X$62)+(AA55*X$63)</f>
        <v>-1.7450633767247038E-6</v>
      </c>
      <c r="Y67" s="5">
        <f>(X55*Y$60)+(Y55*Y$61)+(Z55*Y$62)+(AA55*Y$63)</f>
        <v>0.99999999999847689</v>
      </c>
      <c r="Z67" s="40">
        <f>(X55*Z$60)+(Y55*Z$61)+(Z55*Z$62)+(AA55*Z$63)</f>
        <v>-3.0463241058093987E-8</v>
      </c>
      <c r="AA67" s="42">
        <f>(X55*AA$60)+(Y55*AA$61)+(Z55*AA$62)+(AA55*AA$63)</f>
        <v>1.1883149125018514E-4</v>
      </c>
      <c r="AF67" s="15"/>
      <c r="AG67" s="15"/>
      <c r="AH67" s="15"/>
      <c r="AI67" s="15"/>
      <c r="AJ67" s="15"/>
      <c r="AK67" s="15"/>
      <c r="AL67" s="15"/>
      <c r="AM67" s="15"/>
    </row>
    <row r="68" spans="2:39" ht="15.75" thickBot="1" x14ac:dyDescent="0.3">
      <c r="X68" s="5">
        <f>(X56*X$60)+(Y56*X$61)+(Z56*X$62)+(AA56*X$63)</f>
        <v>1.7454151500686972E-2</v>
      </c>
      <c r="Y68" s="5">
        <f>(X56*Y$60)+(Y56*Y$61)+(Z56*Y$62)+(AA56*Y$63)</f>
        <v>1.2468721673954434E-16</v>
      </c>
      <c r="Z68" s="40">
        <f>(X56*Z$60)+(Y56*Z$61)+(Z56*Z$62)+(AA56*Z$63)</f>
        <v>-0.9998476646946729</v>
      </c>
      <c r="AA68" s="43">
        <f>(X56*AA$60)+(Y56*AA$61)+(Z56*AA$62)+(AA56*AA$63)</f>
        <v>697.36609237266737</v>
      </c>
      <c r="AF68" s="15"/>
      <c r="AG68" s="15"/>
      <c r="AH68" s="15"/>
      <c r="AI68" s="15"/>
      <c r="AJ68" s="15"/>
      <c r="AK68" s="15"/>
      <c r="AL68" s="15"/>
      <c r="AM68" s="15"/>
    </row>
    <row r="69" spans="2:39" x14ac:dyDescent="0.25">
      <c r="X69" s="5">
        <f>(X57*X$60)+(Y57*X$61)+(Z57*X$62)+(AA57*X$63)</f>
        <v>0</v>
      </c>
      <c r="Y69" s="5">
        <f>(X57*Y$60)+(Y57*Y$61)+(Z57*Y$62)+(AA57*Y$63)</f>
        <v>0</v>
      </c>
      <c r="Z69" s="5">
        <f>(X57*Z$60)+(Y57*Z$61)+(Z57*Z$62)+(AA57*Z$63)</f>
        <v>0</v>
      </c>
      <c r="AA69" s="29">
        <f>(X57*AA$60)+(Y57*AA$61)+(Z57*AA$62)+(AA57*AA$63)</f>
        <v>1</v>
      </c>
      <c r="AF69" s="15"/>
      <c r="AG69" s="15"/>
      <c r="AH69" s="15"/>
      <c r="AI69" s="15"/>
      <c r="AJ69" s="15"/>
      <c r="AK69" s="15"/>
      <c r="AL69" s="15"/>
      <c r="AM69" s="15"/>
    </row>
    <row r="70" spans="2:39" x14ac:dyDescent="0.25">
      <c r="AD70" s="15"/>
      <c r="AE70" s="15"/>
      <c r="AF70" s="15"/>
      <c r="AG70" s="15"/>
      <c r="AH70" s="15"/>
      <c r="AI70" s="15"/>
      <c r="AJ70" s="15"/>
      <c r="AK70" s="15"/>
      <c r="AL70" s="15"/>
      <c r="AM70" s="15"/>
    </row>
    <row r="71" spans="2:39" x14ac:dyDescent="0.25">
      <c r="X71" t="s">
        <v>60</v>
      </c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</row>
    <row r="72" spans="2:39" x14ac:dyDescent="0.25">
      <c r="X72" s="31">
        <f>(S51*X$66)+(T51*X$67)+(U51*X$68)</f>
        <v>0.99999999999847689</v>
      </c>
      <c r="Y72" s="31">
        <f>(S51*Y$66)+(T51*Y$67)+(U51*Y$68)</f>
        <v>6.6836454038425982E-16</v>
      </c>
      <c r="Z72" s="31">
        <f>(S51*Z$66)+(T51*Z$67)+(U51*Z$68)</f>
        <v>1.7453292857419478E-6</v>
      </c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</row>
    <row r="73" spans="2:39" x14ac:dyDescent="0.25">
      <c r="X73" s="31">
        <f>(S52*X$66)+(T52*X$67)+(U52*X$68)</f>
        <v>-6.6836458088653179E-16</v>
      </c>
      <c r="Y73" s="31">
        <f>(S52*Y$66)+(T52*Y$67)+(U52*Y$68)</f>
        <v>0.99999999999999989</v>
      </c>
      <c r="Z73" s="31">
        <f>(S52*Z$66)+(T52*Z$67)+(U52*Z$68)</f>
        <v>-9.4854852995385042E-18</v>
      </c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</row>
    <row r="74" spans="2:39" x14ac:dyDescent="0.25">
      <c r="X74" s="31">
        <f>(S53*X$66)+(T53*X$67)+(U53*X$68)</f>
        <v>-1.7453292857454172E-6</v>
      </c>
      <c r="Y74" s="31">
        <f>(S53*Y$66)+(T53*Y$67)+(U53*Y$68)</f>
        <v>9.4843159006002622E-18</v>
      </c>
      <c r="Z74" s="31">
        <f>(S53*Z$66)+(T53*Z$67)+(U53*Z$68)</f>
        <v>0.999999999998477</v>
      </c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</row>
    <row r="75" spans="2:39" x14ac:dyDescent="0.25"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</row>
    <row r="76" spans="2:39" x14ac:dyDescent="0.25"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</row>
    <row r="77" spans="2:39" x14ac:dyDescent="0.25"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</row>
    <row r="78" spans="2:39" x14ac:dyDescent="0.25"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</row>
    <row r="79" spans="2:39" x14ac:dyDescent="0.25"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</row>
    <row r="80" spans="2:39" x14ac:dyDescent="0.25"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</row>
    <row r="81" spans="1:42" x14ac:dyDescent="0.25"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</row>
    <row r="82" spans="1:42" x14ac:dyDescent="0.25">
      <c r="F82" s="13"/>
      <c r="G82" s="13"/>
      <c r="H82" s="13"/>
      <c r="V82" s="15"/>
      <c r="W82" s="15"/>
      <c r="X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</row>
    <row r="83" spans="1:42" s="80" customFormat="1" x14ac:dyDescent="0.25">
      <c r="A83" s="79"/>
      <c r="F83" s="81"/>
      <c r="G83" s="81"/>
      <c r="H83" s="81"/>
      <c r="V83" s="81"/>
      <c r="W83" s="81"/>
      <c r="X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</row>
    <row r="84" spans="1:42" x14ac:dyDescent="0.25">
      <c r="A84" s="22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V84" s="15"/>
      <c r="W84" s="15"/>
      <c r="X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</row>
    <row r="85" spans="1:42" x14ac:dyDescent="0.25">
      <c r="A85" s="82"/>
      <c r="B85" s="22"/>
      <c r="C85" s="22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3"/>
      <c r="Q85" s="13"/>
      <c r="R85" s="13"/>
      <c r="S85" s="13"/>
      <c r="T85" s="13"/>
      <c r="U85" s="13"/>
      <c r="V85" s="15"/>
      <c r="W85" s="15"/>
      <c r="X85" s="15"/>
      <c r="Y85" s="13"/>
      <c r="Z85" s="13"/>
      <c r="AA85" s="13"/>
      <c r="AB85" s="13"/>
      <c r="AC85" s="13"/>
      <c r="AD85" s="15"/>
      <c r="AE85" s="15"/>
      <c r="AF85" s="15"/>
      <c r="AG85" s="15"/>
      <c r="AH85" s="15"/>
      <c r="AI85" s="15"/>
      <c r="AJ85" s="15"/>
      <c r="AK85" s="15"/>
      <c r="AL85" s="15"/>
      <c r="AM85" s="15"/>
    </row>
    <row r="86" spans="1:42" x14ac:dyDescent="0.25">
      <c r="A86" s="82"/>
      <c r="B86" s="22"/>
      <c r="C86" s="22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3"/>
      <c r="Q86" s="13"/>
      <c r="R86" s="13"/>
      <c r="S86" s="13"/>
      <c r="T86" s="13"/>
      <c r="U86" s="13"/>
      <c r="V86" s="15"/>
      <c r="W86" s="15"/>
      <c r="X86" s="15"/>
      <c r="Y86" s="13"/>
      <c r="Z86" s="13"/>
      <c r="AA86" s="13"/>
      <c r="AB86" s="13"/>
      <c r="AC86" s="13"/>
      <c r="AD86" s="15"/>
      <c r="AE86" s="15"/>
      <c r="AF86" s="15"/>
      <c r="AG86" s="15"/>
      <c r="AH86" s="15"/>
      <c r="AI86" s="15"/>
      <c r="AJ86" s="15"/>
      <c r="AK86" s="15"/>
      <c r="AL86" s="15"/>
      <c r="AM86" s="15"/>
    </row>
    <row r="87" spans="1:42" x14ac:dyDescent="0.25">
      <c r="A87" s="82"/>
      <c r="B87" s="22"/>
      <c r="C87" s="22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3"/>
      <c r="Q87" s="13"/>
      <c r="R87" s="13"/>
      <c r="S87" s="13"/>
      <c r="T87" s="13"/>
      <c r="U87" s="13"/>
      <c r="V87" s="15"/>
      <c r="W87" s="15"/>
      <c r="X87" s="15"/>
      <c r="Y87" s="13"/>
      <c r="Z87" s="13"/>
      <c r="AA87" s="13"/>
      <c r="AB87" s="13"/>
      <c r="AC87" s="13"/>
      <c r="AD87" s="15"/>
      <c r="AE87" s="15"/>
      <c r="AF87" s="15"/>
      <c r="AG87" s="15"/>
      <c r="AH87" s="15"/>
      <c r="AI87" s="15"/>
      <c r="AJ87" s="15"/>
      <c r="AK87" s="15"/>
      <c r="AL87" s="15"/>
      <c r="AM87" s="15"/>
    </row>
    <row r="88" spans="1:42" x14ac:dyDescent="0.25">
      <c r="A88" s="22"/>
      <c r="B88" s="22"/>
      <c r="C88" s="22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3"/>
      <c r="Q88" s="13"/>
      <c r="R88" s="13"/>
      <c r="S88" s="15"/>
      <c r="T88" s="15"/>
      <c r="U88" s="15"/>
      <c r="V88" s="15"/>
      <c r="W88" s="15"/>
      <c r="X88" s="15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</row>
    <row r="89" spans="1:42" x14ac:dyDescent="0.25">
      <c r="A89" s="22"/>
      <c r="B89" s="22"/>
      <c r="C89" s="22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3"/>
      <c r="Q89" s="13"/>
      <c r="R89" s="13"/>
      <c r="S89" s="15"/>
      <c r="T89" s="15"/>
      <c r="U89" s="15"/>
      <c r="V89" s="15"/>
      <c r="W89" s="15"/>
      <c r="X89" s="15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42" x14ac:dyDescent="0.25">
      <c r="A90" s="22"/>
      <c r="B90" s="22"/>
      <c r="C90" s="22"/>
      <c r="D90" s="2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3"/>
      <c r="Q90" s="13"/>
      <c r="R90" s="13"/>
      <c r="S90" s="15"/>
      <c r="T90" s="15"/>
      <c r="U90" s="15"/>
      <c r="V90" s="15"/>
      <c r="W90" s="15"/>
      <c r="X90" s="1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42" x14ac:dyDescent="0.25">
      <c r="A91" s="48"/>
      <c r="B91" s="32"/>
      <c r="C91" s="48"/>
      <c r="D91" s="48"/>
      <c r="E91" s="48"/>
      <c r="F91" s="48"/>
      <c r="G91" s="15"/>
      <c r="H91" s="15"/>
      <c r="I91" s="15"/>
      <c r="J91" s="15"/>
      <c r="K91" s="15"/>
      <c r="L91" s="15"/>
      <c r="M91" s="15"/>
      <c r="N91" s="15"/>
      <c r="O91" s="15"/>
      <c r="P91" s="13"/>
      <c r="Q91" s="13"/>
      <c r="R91" s="13"/>
      <c r="S91" s="15"/>
      <c r="T91" s="15"/>
      <c r="U91" s="15"/>
      <c r="V91" s="15"/>
      <c r="W91" s="15"/>
      <c r="X91" s="15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42" x14ac:dyDescent="0.25">
      <c r="A92" s="22"/>
      <c r="B92" s="44"/>
      <c r="C92" s="22"/>
      <c r="D92" s="44"/>
      <c r="E92" s="44"/>
      <c r="F92" s="44"/>
      <c r="G92" s="15"/>
      <c r="H92" s="15"/>
      <c r="I92" s="15"/>
      <c r="J92" s="15"/>
      <c r="K92" s="15"/>
      <c r="L92" s="15"/>
      <c r="M92" s="15"/>
      <c r="N92" s="15"/>
      <c r="O92" s="15"/>
      <c r="P92" s="13"/>
      <c r="Q92" s="13"/>
      <c r="R92" s="13"/>
      <c r="S92" s="15"/>
      <c r="T92" s="15"/>
      <c r="U92" s="15"/>
      <c r="V92" s="15"/>
      <c r="W92" s="15"/>
      <c r="X92" s="15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</row>
    <row r="93" spans="1:42" x14ac:dyDescent="0.25">
      <c r="A93" s="22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3"/>
      <c r="Q93" s="13"/>
      <c r="R93" s="13"/>
      <c r="S93" s="15"/>
      <c r="T93" s="15"/>
      <c r="U93" s="15"/>
      <c r="V93" s="15"/>
      <c r="W93" s="15"/>
      <c r="X93" s="15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42" x14ac:dyDescent="0.25">
      <c r="A94" s="22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22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</row>
    <row r="95" spans="1:42" x14ac:dyDescent="0.25">
      <c r="A95" s="22"/>
      <c r="B95" s="22"/>
      <c r="C95" s="22"/>
      <c r="D95" s="22"/>
      <c r="E95" s="22"/>
      <c r="F95" s="22"/>
      <c r="G95" s="22"/>
      <c r="H95" s="22"/>
      <c r="I95" s="15"/>
      <c r="J95" s="15"/>
      <c r="K95" s="15"/>
      <c r="L95" s="15"/>
      <c r="M95" s="15"/>
      <c r="N95" s="15"/>
      <c r="O95" s="46"/>
      <c r="P95" s="15"/>
      <c r="Q95" s="15"/>
      <c r="R95" s="22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</row>
    <row r="96" spans="1:42" x14ac:dyDescent="0.25">
      <c r="A96" s="25"/>
      <c r="B96" s="25"/>
      <c r="C96" s="25"/>
      <c r="D96" s="25"/>
      <c r="E96" s="44"/>
      <c r="F96" s="44"/>
      <c r="G96" s="44"/>
      <c r="H96" s="44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22"/>
      <c r="T96" s="22"/>
      <c r="U96" s="22"/>
      <c r="V96" s="22"/>
      <c r="W96" s="22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</row>
    <row r="97" spans="1:42" x14ac:dyDescent="0.25">
      <c r="A97" s="25"/>
      <c r="B97" s="25"/>
      <c r="C97" s="25"/>
      <c r="D97" s="25"/>
      <c r="E97" s="44"/>
      <c r="F97" s="44"/>
      <c r="G97" s="44"/>
      <c r="H97" s="44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22"/>
      <c r="T97" s="22"/>
      <c r="U97" s="22"/>
      <c r="V97" s="22"/>
      <c r="W97" s="22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</row>
    <row r="98" spans="1:42" x14ac:dyDescent="0.25">
      <c r="A98" s="25"/>
      <c r="B98" s="25"/>
      <c r="C98" s="25"/>
      <c r="D98" s="25"/>
      <c r="E98" s="44"/>
      <c r="F98" s="44"/>
      <c r="G98" s="44"/>
      <c r="H98" s="44"/>
      <c r="I98" s="15"/>
      <c r="J98" s="15"/>
      <c r="K98" s="15"/>
      <c r="L98" s="15"/>
      <c r="M98" s="15"/>
      <c r="N98" s="15"/>
      <c r="O98" s="32"/>
      <c r="P98" s="32"/>
      <c r="Q98" s="32"/>
      <c r="R98" s="15"/>
      <c r="S98" s="22"/>
      <c r="T98" s="22"/>
      <c r="U98" s="22"/>
      <c r="V98" s="22"/>
      <c r="W98" s="22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</row>
    <row r="99" spans="1:42" x14ac:dyDescent="0.25">
      <c r="A99" s="25"/>
      <c r="B99" s="25"/>
      <c r="C99" s="25"/>
      <c r="D99" s="25"/>
      <c r="E99" s="44"/>
      <c r="F99" s="44"/>
      <c r="G99" s="44"/>
      <c r="H99" s="44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22"/>
      <c r="T99" s="22"/>
      <c r="U99" s="13"/>
      <c r="V99" s="22"/>
      <c r="W99" s="22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</row>
    <row r="100" spans="1:42" x14ac:dyDescent="0.25">
      <c r="A100" s="25"/>
      <c r="B100" s="25"/>
      <c r="C100" s="25"/>
      <c r="D100" s="25"/>
      <c r="E100" s="44"/>
      <c r="F100" s="44"/>
      <c r="G100" s="44"/>
      <c r="H100" s="44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22"/>
      <c r="T100" s="22"/>
      <c r="U100" s="13"/>
      <c r="V100" s="22"/>
      <c r="W100" s="22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</row>
    <row r="101" spans="1:42" x14ac:dyDescent="0.25">
      <c r="A101" s="25"/>
      <c r="B101" s="25"/>
      <c r="C101" s="25"/>
      <c r="D101" s="25"/>
      <c r="E101" s="44"/>
      <c r="F101" s="44"/>
      <c r="G101" s="44"/>
      <c r="H101" s="44"/>
      <c r="I101" s="15"/>
      <c r="J101" s="22"/>
      <c r="K101" s="22"/>
      <c r="L101" s="22"/>
      <c r="M101" s="22"/>
      <c r="N101" s="22"/>
      <c r="O101" s="22"/>
      <c r="P101" s="26"/>
      <c r="Q101" s="26"/>
      <c r="R101" s="15"/>
      <c r="S101" s="22"/>
      <c r="T101" s="22"/>
      <c r="U101" s="13"/>
      <c r="V101" s="22"/>
      <c r="W101" s="22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</row>
    <row r="102" spans="1:42" x14ac:dyDescent="0.25">
      <c r="A102" s="25"/>
      <c r="B102" s="25"/>
      <c r="C102" s="25"/>
      <c r="D102" s="25"/>
      <c r="E102" s="44"/>
      <c r="F102" s="44"/>
      <c r="G102" s="44"/>
      <c r="H102" s="44"/>
      <c r="I102" s="15"/>
      <c r="J102" s="15"/>
      <c r="K102" s="15"/>
      <c r="L102" s="15"/>
      <c r="M102" s="15"/>
      <c r="N102" s="15"/>
      <c r="O102" s="15"/>
      <c r="P102" s="13"/>
      <c r="Q102" s="13"/>
      <c r="R102" s="15"/>
      <c r="S102" s="44"/>
      <c r="T102" s="44"/>
      <c r="U102" s="15"/>
      <c r="V102" s="44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</row>
    <row r="103" spans="1:42" x14ac:dyDescent="0.25">
      <c r="A103" s="25"/>
      <c r="B103" s="25"/>
      <c r="C103" s="25"/>
      <c r="D103" s="25"/>
      <c r="E103" s="44"/>
      <c r="F103" s="44"/>
      <c r="G103" s="44"/>
      <c r="H103" s="44"/>
      <c r="I103" s="15"/>
      <c r="J103" s="15"/>
      <c r="K103" s="15"/>
      <c r="L103" s="15"/>
      <c r="M103" s="15"/>
      <c r="N103" s="15"/>
      <c r="O103" s="15"/>
      <c r="P103" s="13"/>
      <c r="Q103" s="13"/>
      <c r="R103" s="44"/>
      <c r="S103" s="44"/>
      <c r="T103" s="44"/>
      <c r="U103" s="15"/>
      <c r="V103" s="44"/>
      <c r="W103" s="15"/>
      <c r="X103" s="15"/>
      <c r="Y103" s="15"/>
      <c r="Z103" s="15"/>
      <c r="AA103" s="22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</row>
    <row r="104" spans="1:42" x14ac:dyDescent="0.25">
      <c r="A104" s="25"/>
      <c r="B104" s="25"/>
      <c r="C104" s="25"/>
      <c r="D104" s="25"/>
      <c r="E104" s="44"/>
      <c r="F104" s="44"/>
      <c r="G104" s="44"/>
      <c r="H104" s="44"/>
      <c r="I104" s="15"/>
      <c r="J104" s="15"/>
      <c r="K104" s="15"/>
      <c r="L104" s="15"/>
      <c r="M104" s="15"/>
      <c r="N104" s="15"/>
      <c r="O104" s="44"/>
      <c r="P104" s="44"/>
      <c r="Q104" s="44"/>
      <c r="R104" s="44"/>
      <c r="S104" s="15"/>
      <c r="T104" s="15"/>
      <c r="U104" s="15"/>
      <c r="V104" s="15"/>
      <c r="W104" s="15"/>
      <c r="X104" s="15"/>
      <c r="Y104" s="15"/>
      <c r="Z104" s="15"/>
      <c r="AA104" s="22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</row>
    <row r="105" spans="1:42" x14ac:dyDescent="0.25">
      <c r="A105" s="25"/>
      <c r="B105" s="25"/>
      <c r="C105" s="25"/>
      <c r="D105" s="25"/>
      <c r="E105" s="25"/>
      <c r="F105" s="25"/>
      <c r="G105" s="25"/>
      <c r="H105" s="25"/>
      <c r="I105" s="15"/>
      <c r="J105" s="15"/>
      <c r="K105" s="15"/>
      <c r="L105" s="15"/>
      <c r="M105" s="15"/>
      <c r="N105" s="15"/>
      <c r="O105" s="22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</row>
    <row r="106" spans="1:42" x14ac:dyDescent="0.25">
      <c r="A106" s="25"/>
      <c r="B106" s="25"/>
      <c r="C106" s="25"/>
      <c r="D106" s="25"/>
      <c r="E106" s="25"/>
      <c r="F106" s="25"/>
      <c r="G106" s="25"/>
      <c r="H106" s="25"/>
      <c r="I106" s="15"/>
      <c r="J106" s="15"/>
      <c r="K106" s="15"/>
      <c r="L106" s="15"/>
      <c r="M106" s="15"/>
      <c r="N106" s="15"/>
      <c r="O106" s="15"/>
      <c r="P106" s="13"/>
      <c r="Q106" s="13"/>
      <c r="R106" s="15"/>
      <c r="S106" s="25"/>
      <c r="T106" s="25"/>
      <c r="U106" s="15"/>
      <c r="V106" s="2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</row>
    <row r="107" spans="1:42" x14ac:dyDescent="0.25">
      <c r="A107" s="25"/>
      <c r="B107" s="25"/>
      <c r="C107" s="25"/>
      <c r="D107" s="25"/>
      <c r="E107" s="25"/>
      <c r="F107" s="25"/>
      <c r="G107" s="25"/>
      <c r="H107" s="25"/>
      <c r="I107" s="15"/>
      <c r="J107" s="15"/>
      <c r="K107" s="15"/>
      <c r="L107" s="15"/>
      <c r="M107" s="15"/>
      <c r="N107" s="15"/>
      <c r="O107" s="15"/>
      <c r="P107" s="13"/>
      <c r="Q107" s="13"/>
      <c r="R107" s="44"/>
      <c r="S107" s="25"/>
      <c r="T107" s="25"/>
      <c r="U107" s="13"/>
      <c r="V107" s="2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</row>
    <row r="108" spans="1:42" x14ac:dyDescent="0.25">
      <c r="A108" s="25"/>
      <c r="B108" s="25"/>
      <c r="C108" s="25"/>
      <c r="D108" s="25"/>
      <c r="E108" s="25"/>
      <c r="F108" s="25"/>
      <c r="G108" s="25"/>
      <c r="H108" s="25"/>
      <c r="I108" s="15"/>
      <c r="J108" s="15"/>
      <c r="K108" s="15"/>
      <c r="L108" s="15"/>
      <c r="M108" s="15"/>
      <c r="N108" s="15"/>
      <c r="O108" s="44"/>
      <c r="P108" s="44"/>
      <c r="Q108" s="44"/>
      <c r="R108" s="15"/>
      <c r="S108" s="15"/>
      <c r="T108" s="15"/>
      <c r="U108" s="13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</row>
    <row r="109" spans="1:42" x14ac:dyDescent="0.25">
      <c r="A109" s="22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22"/>
      <c r="P109" s="15"/>
      <c r="Q109" s="15"/>
      <c r="R109" s="15"/>
      <c r="S109" s="15"/>
      <c r="T109" s="15"/>
      <c r="U109" s="13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</row>
    <row r="110" spans="1:42" x14ac:dyDescent="0.25">
      <c r="A110" s="22"/>
      <c r="B110" s="22"/>
      <c r="C110" s="22"/>
      <c r="D110" s="22"/>
      <c r="E110" s="22"/>
      <c r="F110" s="22"/>
      <c r="G110" s="22"/>
      <c r="H110" s="22"/>
      <c r="I110" s="15"/>
      <c r="J110" s="15"/>
      <c r="K110" s="15"/>
      <c r="L110" s="15"/>
      <c r="M110" s="15"/>
      <c r="N110" s="15"/>
      <c r="O110" s="15"/>
      <c r="P110" s="13"/>
      <c r="Q110" s="13"/>
      <c r="R110" s="15"/>
      <c r="S110" s="15"/>
      <c r="T110" s="15"/>
      <c r="U110" s="13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</row>
    <row r="111" spans="1:42" x14ac:dyDescent="0.25">
      <c r="A111" s="25"/>
      <c r="B111" s="25"/>
      <c r="C111" s="25"/>
      <c r="D111" s="25"/>
      <c r="E111" s="44"/>
      <c r="F111" s="44"/>
      <c r="G111" s="44"/>
      <c r="H111" s="44"/>
      <c r="I111" s="15"/>
      <c r="J111" s="15"/>
      <c r="K111" s="15"/>
      <c r="L111" s="15"/>
      <c r="M111" s="15"/>
      <c r="N111" s="15"/>
      <c r="O111" s="15"/>
      <c r="P111" s="13"/>
      <c r="Q111" s="13"/>
      <c r="R111" s="15"/>
      <c r="S111" s="15"/>
      <c r="T111" s="15"/>
      <c r="U111" s="13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</row>
    <row r="112" spans="1:42" x14ac:dyDescent="0.25">
      <c r="A112" s="25"/>
      <c r="B112" s="25"/>
      <c r="C112" s="25"/>
      <c r="D112" s="25"/>
      <c r="E112" s="44"/>
      <c r="F112" s="44"/>
      <c r="G112" s="44"/>
      <c r="H112" s="44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3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</row>
    <row r="113" spans="1:42" x14ac:dyDescent="0.25">
      <c r="A113" s="25"/>
      <c r="B113" s="25"/>
      <c r="C113" s="25"/>
      <c r="D113" s="25"/>
      <c r="E113" s="44"/>
      <c r="F113" s="44"/>
      <c r="G113" s="44"/>
      <c r="H113" s="44"/>
      <c r="I113" s="15"/>
      <c r="J113" s="15"/>
      <c r="K113" s="15"/>
      <c r="L113" s="15"/>
      <c r="M113" s="15"/>
      <c r="N113" s="15"/>
      <c r="O113" s="22"/>
      <c r="P113" s="15"/>
      <c r="Q113" s="15"/>
      <c r="R113" s="15"/>
      <c r="S113" s="15"/>
      <c r="T113" s="15"/>
      <c r="U113" s="13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</row>
    <row r="114" spans="1:42" x14ac:dyDescent="0.25">
      <c r="A114" s="25"/>
      <c r="B114" s="25"/>
      <c r="C114" s="25"/>
      <c r="D114" s="25"/>
      <c r="E114" s="44"/>
      <c r="F114" s="44"/>
      <c r="G114" s="44"/>
      <c r="H114" s="44"/>
      <c r="I114" s="15"/>
      <c r="J114" s="15"/>
      <c r="K114" s="15"/>
      <c r="L114" s="15"/>
      <c r="M114" s="15"/>
      <c r="N114" s="15"/>
      <c r="O114" s="22"/>
      <c r="P114" s="15"/>
      <c r="Q114" s="15"/>
      <c r="R114" s="15"/>
      <c r="S114" s="25"/>
      <c r="T114" s="25"/>
      <c r="U114" s="13"/>
      <c r="V114" s="2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</row>
    <row r="115" spans="1:42" x14ac:dyDescent="0.25">
      <c r="A115" s="25"/>
      <c r="B115" s="25"/>
      <c r="C115" s="25"/>
      <c r="D115" s="25"/>
      <c r="E115" s="44"/>
      <c r="F115" s="44"/>
      <c r="G115" s="44"/>
      <c r="H115" s="44"/>
      <c r="I115" s="15"/>
      <c r="J115" s="15"/>
      <c r="K115" s="15"/>
      <c r="L115" s="15"/>
      <c r="M115" s="15"/>
      <c r="N115" s="15"/>
      <c r="O115" s="22"/>
      <c r="P115" s="15"/>
      <c r="Q115" s="15"/>
      <c r="R115" s="15"/>
      <c r="S115" s="25"/>
      <c r="T115" s="25"/>
      <c r="U115" s="13"/>
      <c r="V115" s="2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</row>
    <row r="116" spans="1:42" x14ac:dyDescent="0.25">
      <c r="A116" s="25"/>
      <c r="B116" s="25"/>
      <c r="C116" s="25"/>
      <c r="D116" s="25"/>
      <c r="E116" s="44"/>
      <c r="F116" s="44"/>
      <c r="G116" s="44"/>
      <c r="H116" s="44"/>
      <c r="I116" s="15"/>
      <c r="J116" s="15"/>
      <c r="K116" s="15"/>
      <c r="L116" s="15"/>
      <c r="M116" s="15"/>
      <c r="N116" s="15"/>
      <c r="O116" s="22"/>
      <c r="P116" s="15"/>
      <c r="Q116" s="15"/>
      <c r="R116" s="15"/>
      <c r="S116" s="25"/>
      <c r="T116" s="25"/>
      <c r="U116" s="13"/>
      <c r="V116" s="2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</row>
    <row r="117" spans="1:42" x14ac:dyDescent="0.25">
      <c r="A117" s="25"/>
      <c r="B117" s="25"/>
      <c r="C117" s="25"/>
      <c r="D117" s="25"/>
      <c r="E117" s="44"/>
      <c r="F117" s="44"/>
      <c r="G117" s="44"/>
      <c r="H117" s="44"/>
      <c r="I117" s="15"/>
      <c r="J117" s="15"/>
      <c r="K117" s="15"/>
      <c r="L117" s="15"/>
      <c r="M117" s="15"/>
      <c r="N117" s="15"/>
      <c r="O117" s="44"/>
      <c r="P117" s="22"/>
      <c r="Q117" s="44"/>
      <c r="R117" s="44"/>
      <c r="S117" s="44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</row>
    <row r="118" spans="1:42" x14ac:dyDescent="0.25">
      <c r="A118" s="25"/>
      <c r="B118" s="25"/>
      <c r="C118" s="25"/>
      <c r="D118" s="25"/>
      <c r="E118" s="44"/>
      <c r="F118" s="44"/>
      <c r="G118" s="44"/>
      <c r="H118" s="44"/>
      <c r="I118" s="15"/>
      <c r="J118" s="15"/>
      <c r="K118" s="15"/>
      <c r="L118" s="15"/>
      <c r="M118" s="15"/>
      <c r="N118" s="15"/>
      <c r="O118" s="22"/>
      <c r="P118" s="22"/>
      <c r="Q118" s="22"/>
      <c r="R118" s="22"/>
      <c r="S118" s="22"/>
      <c r="T118" s="15"/>
      <c r="U118" s="15"/>
      <c r="V118" s="15"/>
      <c r="W118" s="22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</row>
    <row r="119" spans="1:42" x14ac:dyDescent="0.25">
      <c r="A119" s="25"/>
      <c r="B119" s="25"/>
      <c r="C119" s="25"/>
      <c r="D119" s="25"/>
      <c r="E119" s="44"/>
      <c r="F119" s="44"/>
      <c r="G119" s="44"/>
      <c r="H119" s="44"/>
      <c r="I119" s="15"/>
      <c r="J119" s="15"/>
      <c r="K119" s="15"/>
      <c r="L119" s="15"/>
      <c r="M119" s="15"/>
      <c r="N119" s="15"/>
      <c r="O119" s="22"/>
      <c r="P119" s="22"/>
      <c r="Q119" s="22"/>
      <c r="R119" s="22"/>
      <c r="S119" s="22"/>
      <c r="T119" s="25"/>
      <c r="U119" s="13"/>
      <c r="V119" s="2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</row>
    <row r="120" spans="1:42" x14ac:dyDescent="0.25">
      <c r="A120" s="22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22"/>
      <c r="P120" s="22"/>
      <c r="Q120" s="22"/>
      <c r="R120" s="22"/>
      <c r="S120" s="22"/>
      <c r="T120" s="25"/>
      <c r="U120" s="13"/>
      <c r="V120" s="2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</row>
    <row r="121" spans="1:42" x14ac:dyDescent="0.25">
      <c r="L121" s="14"/>
      <c r="O121" s="22"/>
      <c r="P121" s="22"/>
      <c r="Q121" s="22"/>
      <c r="R121" s="22"/>
      <c r="S121" s="22"/>
      <c r="T121" s="25"/>
      <c r="U121" s="13"/>
      <c r="V121" s="2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</row>
    <row r="122" spans="1:42" x14ac:dyDescent="0.25">
      <c r="I122" s="15"/>
      <c r="J122" s="15"/>
      <c r="L122" s="14"/>
      <c r="O122" s="22"/>
      <c r="P122" s="22"/>
      <c r="Q122" s="22"/>
      <c r="R122" s="22"/>
      <c r="S122" s="22"/>
      <c r="T122" s="25"/>
      <c r="U122" s="15"/>
      <c r="V122" s="2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</row>
    <row r="123" spans="1:42" x14ac:dyDescent="0.25">
      <c r="I123" s="15"/>
      <c r="J123" s="15"/>
      <c r="L123" s="14"/>
      <c r="O123" s="22"/>
      <c r="P123" s="22"/>
      <c r="Q123" s="22"/>
      <c r="R123" s="22"/>
      <c r="S123" s="22"/>
      <c r="T123" s="25"/>
      <c r="U123" s="15"/>
      <c r="V123" s="2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</row>
    <row r="124" spans="1:42" x14ac:dyDescent="0.25">
      <c r="L124" s="14"/>
      <c r="O124" s="22"/>
      <c r="P124" s="22"/>
      <c r="Q124" s="22"/>
      <c r="R124" s="22"/>
      <c r="S124" s="22"/>
      <c r="T124" s="25"/>
      <c r="U124" s="15"/>
      <c r="V124" s="2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</row>
    <row r="125" spans="1:42" x14ac:dyDescent="0.25">
      <c r="L125" s="14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</row>
    <row r="126" spans="1:42" x14ac:dyDescent="0.25">
      <c r="L126" s="14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</row>
    <row r="127" spans="1:42" x14ac:dyDescent="0.25">
      <c r="I127" s="15"/>
      <c r="J127" s="15"/>
      <c r="L127" s="14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46"/>
      <c r="Z127" s="15"/>
      <c r="AA127" s="15"/>
      <c r="AB127" s="15"/>
      <c r="AC127" s="15"/>
      <c r="AD127" s="15"/>
      <c r="AE127" s="15"/>
      <c r="AF127" s="15"/>
      <c r="AG127" s="15"/>
      <c r="AH127" s="46"/>
      <c r="AI127" s="15"/>
      <c r="AJ127" s="15"/>
      <c r="AK127" s="15"/>
      <c r="AL127" s="15"/>
      <c r="AM127" s="15"/>
      <c r="AN127" s="15"/>
      <c r="AO127" s="15"/>
      <c r="AP127" s="15"/>
    </row>
    <row r="128" spans="1:42" x14ac:dyDescent="0.25">
      <c r="A128" s="22"/>
      <c r="B128" s="15"/>
      <c r="C128" s="15"/>
      <c r="D128" s="15"/>
      <c r="E128" s="15"/>
      <c r="F128" s="15"/>
      <c r="G128" s="15"/>
      <c r="H128" s="15"/>
      <c r="I128" s="15"/>
      <c r="J128" s="15"/>
      <c r="L128" s="14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47"/>
      <c r="Z128" s="15"/>
      <c r="AA128" s="15"/>
      <c r="AB128" s="15"/>
      <c r="AC128" s="15"/>
      <c r="AD128" s="15"/>
      <c r="AE128" s="15"/>
      <c r="AF128" s="15"/>
      <c r="AG128" s="15"/>
      <c r="AH128" s="47"/>
      <c r="AI128" s="15"/>
      <c r="AJ128" s="15"/>
      <c r="AK128" s="15"/>
      <c r="AL128" s="15"/>
      <c r="AM128" s="15"/>
      <c r="AN128" s="15"/>
      <c r="AO128" s="15"/>
      <c r="AP128" s="15"/>
    </row>
    <row r="129" spans="1:42" x14ac:dyDescent="0.25">
      <c r="A129" s="22"/>
      <c r="B129" s="22"/>
      <c r="C129" s="22"/>
      <c r="D129" s="22"/>
      <c r="E129" s="22"/>
      <c r="F129" s="22"/>
      <c r="G129" s="22"/>
      <c r="H129" s="22"/>
      <c r="I129" s="15"/>
      <c r="J129" s="15"/>
      <c r="L129" s="14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</row>
    <row r="130" spans="1:42" x14ac:dyDescent="0.25">
      <c r="A130" s="22"/>
      <c r="B130" s="15"/>
      <c r="C130" s="15"/>
      <c r="D130" s="15"/>
      <c r="E130" s="25"/>
      <c r="F130" s="25"/>
      <c r="G130" s="25"/>
      <c r="H130" s="25"/>
      <c r="I130" s="15"/>
      <c r="J130" s="15"/>
      <c r="L130" s="14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</row>
    <row r="131" spans="1:42" x14ac:dyDescent="0.25">
      <c r="A131" s="22"/>
      <c r="B131" s="15"/>
      <c r="C131" s="15"/>
      <c r="D131" s="15"/>
      <c r="E131" s="44"/>
      <c r="F131" s="44"/>
      <c r="G131" s="44"/>
      <c r="H131" s="44"/>
      <c r="I131" s="15"/>
      <c r="J131" s="15"/>
      <c r="L131" s="14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</row>
    <row r="132" spans="1:42" x14ac:dyDescent="0.25">
      <c r="A132" s="22"/>
      <c r="B132" s="15"/>
      <c r="C132" s="15"/>
      <c r="D132" s="15"/>
      <c r="E132" s="15"/>
      <c r="F132" s="15"/>
      <c r="G132" s="15"/>
      <c r="H132" s="15"/>
      <c r="I132" s="15"/>
      <c r="J132" s="15"/>
      <c r="L132" s="14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</row>
    <row r="133" spans="1:42" x14ac:dyDescent="0.25">
      <c r="A133" s="22"/>
      <c r="B133" s="15"/>
      <c r="C133" s="15"/>
      <c r="D133" s="15"/>
      <c r="E133" s="15"/>
      <c r="F133" s="15"/>
      <c r="G133" s="15"/>
      <c r="H133" s="15"/>
      <c r="I133" s="15"/>
      <c r="J133" s="15"/>
      <c r="L133" s="14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</row>
    <row r="134" spans="1:42" x14ac:dyDescent="0.25">
      <c r="A134" s="22"/>
      <c r="B134" s="22"/>
      <c r="C134" s="22"/>
      <c r="D134" s="22"/>
      <c r="E134" s="22"/>
      <c r="F134" s="22"/>
      <c r="G134" s="22"/>
      <c r="H134" s="22"/>
      <c r="I134" s="15"/>
      <c r="J134" s="15"/>
      <c r="L134" s="14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</row>
    <row r="135" spans="1:42" x14ac:dyDescent="0.25">
      <c r="A135" s="22"/>
      <c r="B135" s="15"/>
      <c r="C135" s="15"/>
      <c r="D135" s="15"/>
      <c r="E135" s="25"/>
      <c r="F135" s="25"/>
      <c r="G135" s="25"/>
      <c r="H135" s="25"/>
      <c r="I135" s="15"/>
      <c r="J135" s="15"/>
      <c r="L135" s="14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</row>
    <row r="136" spans="1:42" x14ac:dyDescent="0.25">
      <c r="A136" s="22"/>
      <c r="B136" s="15"/>
      <c r="C136" s="15"/>
      <c r="D136" s="15"/>
      <c r="E136" s="44"/>
      <c r="F136" s="44"/>
      <c r="G136" s="44"/>
      <c r="H136" s="44"/>
      <c r="I136" s="15"/>
      <c r="J136" s="15"/>
      <c r="L136" s="14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</row>
    <row r="137" spans="1:42" x14ac:dyDescent="0.25">
      <c r="A137" s="22"/>
      <c r="B137" s="15"/>
      <c r="C137" s="15"/>
      <c r="D137" s="15"/>
      <c r="E137" s="15"/>
      <c r="F137" s="15"/>
      <c r="G137" s="15"/>
      <c r="H137" s="15"/>
      <c r="I137" s="15"/>
      <c r="J137" s="15"/>
      <c r="L137" s="14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</row>
    <row r="138" spans="1:42" x14ac:dyDescent="0.25">
      <c r="A138" s="22"/>
      <c r="B138" s="15"/>
      <c r="C138" s="15"/>
      <c r="D138" s="15"/>
      <c r="E138" s="15"/>
      <c r="F138" s="15"/>
      <c r="G138" s="15"/>
      <c r="H138" s="15"/>
      <c r="I138" s="15"/>
      <c r="J138" s="15"/>
      <c r="L138" s="14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</row>
    <row r="139" spans="1:42" x14ac:dyDescent="0.25">
      <c r="A139" s="22"/>
      <c r="B139" s="22"/>
      <c r="C139" s="22"/>
      <c r="D139" s="22"/>
      <c r="E139" s="22"/>
      <c r="F139" s="22"/>
      <c r="G139" s="22"/>
      <c r="H139" s="22"/>
      <c r="I139" s="15"/>
      <c r="J139" s="15"/>
      <c r="L139" s="14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</row>
    <row r="140" spans="1:42" x14ac:dyDescent="0.25">
      <c r="A140" s="22"/>
      <c r="B140" s="15"/>
      <c r="C140" s="15"/>
      <c r="D140" s="15"/>
      <c r="E140" s="25"/>
      <c r="F140" s="25"/>
      <c r="G140" s="25"/>
      <c r="H140" s="25"/>
      <c r="I140" s="15"/>
      <c r="J140" s="15"/>
      <c r="L140" s="14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</row>
    <row r="141" spans="1:42" x14ac:dyDescent="0.25">
      <c r="A141" s="22"/>
      <c r="B141" s="15"/>
      <c r="C141" s="15"/>
      <c r="D141" s="15"/>
      <c r="E141" s="44"/>
      <c r="F141" s="44"/>
      <c r="G141" s="44"/>
      <c r="H141" s="44"/>
      <c r="I141" s="15"/>
      <c r="J141" s="15"/>
      <c r="L141" s="14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</row>
    <row r="142" spans="1:42" x14ac:dyDescent="0.25">
      <c r="A142" s="22"/>
      <c r="B142" s="15"/>
      <c r="C142" s="15"/>
      <c r="D142" s="15"/>
      <c r="E142" s="15"/>
      <c r="F142" s="15"/>
      <c r="G142" s="15"/>
      <c r="H142" s="15"/>
      <c r="I142" s="15"/>
      <c r="J142" s="15"/>
      <c r="L142" s="14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</row>
    <row r="143" spans="1:42" x14ac:dyDescent="0.25">
      <c r="A143" s="22"/>
      <c r="B143" s="15"/>
      <c r="C143" s="15"/>
      <c r="D143" s="15"/>
      <c r="E143" s="15"/>
      <c r="F143" s="15"/>
      <c r="G143" s="15"/>
      <c r="H143" s="15"/>
      <c r="I143" s="15"/>
      <c r="J143" s="15"/>
      <c r="L143" s="14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</row>
    <row r="144" spans="1:42" x14ac:dyDescent="0.25">
      <c r="A144" s="22"/>
      <c r="B144" s="22"/>
      <c r="C144" s="22"/>
      <c r="D144" s="22"/>
      <c r="E144" s="22"/>
      <c r="F144" s="22"/>
      <c r="G144" s="22"/>
      <c r="H144" s="22"/>
      <c r="I144" s="15"/>
      <c r="J144" s="15"/>
      <c r="L144" s="14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22"/>
      <c r="AC144" s="15"/>
      <c r="AD144" s="15"/>
      <c r="AE144" s="15"/>
      <c r="AF144" s="15"/>
      <c r="AG144" s="15"/>
      <c r="AH144" s="15"/>
      <c r="AI144" s="15"/>
      <c r="AJ144" s="15"/>
      <c r="AK144" s="22"/>
      <c r="AL144" s="15"/>
      <c r="AM144" s="15"/>
      <c r="AN144" s="15"/>
      <c r="AO144" s="15"/>
      <c r="AP144" s="15"/>
    </row>
    <row r="145" spans="1:42" x14ac:dyDescent="0.25">
      <c r="A145" s="22"/>
      <c r="B145" s="15"/>
      <c r="C145" s="15"/>
      <c r="D145" s="15"/>
      <c r="E145" s="25"/>
      <c r="F145" s="25"/>
      <c r="G145" s="25"/>
      <c r="H145" s="25"/>
      <c r="I145" s="15"/>
      <c r="J145" s="15"/>
      <c r="L145" s="14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</row>
    <row r="146" spans="1:42" x14ac:dyDescent="0.25">
      <c r="A146" s="22"/>
      <c r="B146" s="15"/>
      <c r="C146" s="15"/>
      <c r="D146" s="15"/>
      <c r="E146" s="44"/>
      <c r="F146" s="44"/>
      <c r="G146" s="44"/>
      <c r="H146" s="44"/>
      <c r="I146" s="15"/>
      <c r="J146" s="15"/>
      <c r="L146" s="14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</row>
    <row r="147" spans="1:42" x14ac:dyDescent="0.25">
      <c r="A147" s="22"/>
      <c r="B147" s="15"/>
      <c r="C147" s="15"/>
      <c r="D147" s="15"/>
      <c r="E147" s="15"/>
      <c r="F147" s="15"/>
      <c r="G147" s="15"/>
      <c r="H147" s="15"/>
      <c r="I147" s="15"/>
      <c r="J147" s="15"/>
      <c r="L147" s="14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</row>
    <row r="148" spans="1:42" x14ac:dyDescent="0.25">
      <c r="A148" s="22"/>
      <c r="B148" s="15"/>
      <c r="C148" s="15"/>
      <c r="D148" s="15"/>
      <c r="E148" s="15"/>
      <c r="F148" s="15"/>
      <c r="G148" s="15"/>
      <c r="H148" s="15"/>
      <c r="I148" s="15"/>
      <c r="J148" s="15"/>
      <c r="L148" s="14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</row>
    <row r="149" spans="1:42" x14ac:dyDescent="0.25">
      <c r="A149" s="22"/>
      <c r="B149" s="22"/>
      <c r="C149" s="22"/>
      <c r="D149" s="22"/>
      <c r="E149" s="22"/>
      <c r="F149" s="22"/>
      <c r="G149" s="22"/>
      <c r="H149" s="22"/>
      <c r="I149" s="15"/>
      <c r="J149" s="15"/>
      <c r="L149" s="14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</row>
    <row r="150" spans="1:42" x14ac:dyDescent="0.25">
      <c r="A150" s="22"/>
      <c r="B150" s="15"/>
      <c r="C150" s="15"/>
      <c r="D150" s="15"/>
      <c r="E150" s="25"/>
      <c r="F150" s="25"/>
      <c r="G150" s="25"/>
      <c r="H150" s="25"/>
      <c r="I150" s="15"/>
      <c r="J150" s="15"/>
      <c r="L150" s="14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</row>
    <row r="151" spans="1:42" x14ac:dyDescent="0.25">
      <c r="A151" s="22"/>
      <c r="B151" s="15"/>
      <c r="C151" s="15"/>
      <c r="D151" s="15"/>
      <c r="E151" s="44"/>
      <c r="F151" s="44"/>
      <c r="G151" s="44"/>
      <c r="H151" s="44"/>
      <c r="I151" s="15"/>
      <c r="J151" s="15"/>
      <c r="L151" s="14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</row>
    <row r="152" spans="1:42" x14ac:dyDescent="0.25">
      <c r="A152" s="22"/>
      <c r="B152" s="15"/>
      <c r="C152" s="15"/>
      <c r="D152" s="15"/>
      <c r="E152" s="15"/>
      <c r="F152" s="15"/>
      <c r="G152" s="15"/>
      <c r="H152" s="15"/>
      <c r="I152" s="15"/>
      <c r="J152" s="15"/>
      <c r="L152" s="14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</row>
    <row r="153" spans="1:42" x14ac:dyDescent="0.25">
      <c r="A153" s="22"/>
      <c r="B153" s="15"/>
      <c r="C153" s="15"/>
      <c r="D153" s="15"/>
      <c r="E153" s="15"/>
      <c r="F153" s="15"/>
      <c r="G153" s="15"/>
      <c r="H153" s="15"/>
      <c r="I153" s="15"/>
      <c r="J153" s="15"/>
      <c r="L153" s="14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</row>
    <row r="154" spans="1:42" x14ac:dyDescent="0.25">
      <c r="A154" s="22"/>
      <c r="B154" s="22"/>
      <c r="C154" s="22"/>
      <c r="D154" s="22"/>
      <c r="E154" s="22"/>
      <c r="F154" s="22"/>
      <c r="G154" s="22"/>
      <c r="H154" s="22"/>
      <c r="I154" s="15"/>
      <c r="J154" s="15"/>
      <c r="L154" s="14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</row>
    <row r="155" spans="1:42" x14ac:dyDescent="0.25">
      <c r="A155" s="22"/>
      <c r="B155" s="15"/>
      <c r="C155" s="15"/>
      <c r="D155" s="15"/>
      <c r="E155" s="25"/>
      <c r="F155" s="25"/>
      <c r="G155" s="25"/>
      <c r="H155" s="25"/>
      <c r="I155" s="15"/>
      <c r="J155" s="15"/>
      <c r="L155" s="14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</row>
    <row r="156" spans="1:42" x14ac:dyDescent="0.25">
      <c r="A156" s="22"/>
      <c r="B156" s="15"/>
      <c r="C156" s="15"/>
      <c r="D156" s="15"/>
      <c r="E156" s="44"/>
      <c r="F156" s="44"/>
      <c r="G156" s="44"/>
      <c r="H156" s="44"/>
      <c r="I156" s="15"/>
      <c r="J156" s="15"/>
      <c r="L156" s="14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</row>
    <row r="157" spans="1:42" x14ac:dyDescent="0.25">
      <c r="A157" s="22"/>
      <c r="B157" s="15"/>
      <c r="C157" s="15"/>
      <c r="D157" s="15"/>
      <c r="E157" s="25"/>
      <c r="F157" s="25"/>
      <c r="G157" s="25"/>
      <c r="H157" s="25"/>
      <c r="I157" s="15"/>
      <c r="J157" s="15"/>
      <c r="L157" s="14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</row>
    <row r="158" spans="1:42" x14ac:dyDescent="0.25">
      <c r="A158" s="22"/>
      <c r="B158" s="15"/>
      <c r="C158" s="15"/>
      <c r="D158" s="15"/>
      <c r="E158" s="44"/>
      <c r="F158" s="44"/>
      <c r="G158" s="44"/>
      <c r="H158" s="44"/>
      <c r="I158" s="15"/>
      <c r="J158" s="15"/>
      <c r="L158" s="14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</row>
    <row r="159" spans="1:42" x14ac:dyDescent="0.25">
      <c r="A159" s="22"/>
      <c r="B159" s="22"/>
      <c r="C159" s="22"/>
      <c r="D159" s="22"/>
      <c r="E159" s="22"/>
      <c r="F159" s="22"/>
      <c r="G159" s="22"/>
      <c r="H159" s="22"/>
      <c r="I159" s="15"/>
      <c r="J159" s="15"/>
      <c r="L159" s="14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</row>
    <row r="160" spans="1:42" x14ac:dyDescent="0.25">
      <c r="A160" s="22"/>
      <c r="B160" s="15"/>
      <c r="C160" s="15"/>
      <c r="D160" s="15"/>
      <c r="E160" s="25"/>
      <c r="F160" s="25"/>
      <c r="G160" s="25"/>
      <c r="H160" s="25"/>
      <c r="I160" s="15"/>
      <c r="J160" s="15"/>
      <c r="L160" s="14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</row>
    <row r="161" spans="1:42" x14ac:dyDescent="0.25">
      <c r="A161" s="22"/>
      <c r="B161" s="15"/>
      <c r="C161" s="15"/>
      <c r="D161" s="15"/>
      <c r="E161" s="44"/>
      <c r="F161" s="44"/>
      <c r="G161" s="44"/>
      <c r="H161" s="44"/>
      <c r="I161" s="15"/>
      <c r="J161" s="15"/>
      <c r="L161" s="14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</row>
    <row r="162" spans="1:42" x14ac:dyDescent="0.25">
      <c r="A162" s="22"/>
      <c r="B162" s="15"/>
      <c r="C162" s="15"/>
      <c r="D162" s="15"/>
      <c r="E162" s="15"/>
      <c r="F162" s="15"/>
      <c r="G162" s="15"/>
      <c r="H162" s="15"/>
      <c r="I162" s="15"/>
      <c r="J162" s="15"/>
      <c r="L162" s="14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</row>
    <row r="163" spans="1:42" x14ac:dyDescent="0.25">
      <c r="A163" s="22"/>
      <c r="B163" s="15"/>
      <c r="C163" s="15"/>
      <c r="D163" s="15"/>
      <c r="E163" s="15"/>
      <c r="F163" s="15"/>
      <c r="G163" s="15"/>
      <c r="H163" s="15"/>
      <c r="I163" s="15"/>
      <c r="J163" s="15"/>
      <c r="L163" s="14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</row>
    <row r="164" spans="1:42" x14ac:dyDescent="0.25">
      <c r="A164" s="22"/>
      <c r="B164" s="15"/>
      <c r="C164" s="15"/>
      <c r="D164" s="15"/>
      <c r="E164" s="15"/>
      <c r="F164" s="15"/>
      <c r="G164" s="15"/>
      <c r="H164" s="15"/>
      <c r="I164" s="15"/>
      <c r="J164" s="15"/>
      <c r="L164" s="14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</row>
    <row r="165" spans="1:42" x14ac:dyDescent="0.25">
      <c r="A165" s="22"/>
      <c r="B165" s="15"/>
      <c r="C165" s="15"/>
      <c r="D165" s="15"/>
      <c r="E165" s="15"/>
      <c r="F165" s="15"/>
      <c r="G165" s="15"/>
      <c r="H165" s="15"/>
      <c r="I165" s="15"/>
      <c r="J165" s="15"/>
      <c r="L165" s="14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</row>
    <row r="166" spans="1:42" x14ac:dyDescent="0.25">
      <c r="A166" s="22"/>
      <c r="B166" s="15"/>
      <c r="C166" s="15"/>
      <c r="D166" s="15"/>
      <c r="E166" s="15"/>
      <c r="F166" s="15"/>
      <c r="G166" s="15"/>
      <c r="H166" s="15"/>
      <c r="I166" s="15"/>
      <c r="J166" s="15"/>
      <c r="L166" s="14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</row>
    <row r="167" spans="1:42" x14ac:dyDescent="0.25">
      <c r="A167" s="22"/>
      <c r="B167" s="15"/>
      <c r="C167" s="15"/>
      <c r="D167" s="15"/>
      <c r="E167" s="15"/>
      <c r="F167" s="15"/>
      <c r="G167" s="15"/>
      <c r="H167" s="15"/>
      <c r="I167" s="15"/>
      <c r="J167" s="15"/>
      <c r="L167" s="14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</row>
    <row r="168" spans="1:42" x14ac:dyDescent="0.25">
      <c r="L168" s="14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</row>
    <row r="169" spans="1:42" x14ac:dyDescent="0.25">
      <c r="L169" s="14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</row>
    <row r="170" spans="1:42" x14ac:dyDescent="0.25">
      <c r="L170" s="14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</row>
    <row r="171" spans="1:42" x14ac:dyDescent="0.25">
      <c r="L171" s="14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</row>
    <row r="172" spans="1:42" x14ac:dyDescent="0.25">
      <c r="L172" s="14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</row>
    <row r="173" spans="1:42" x14ac:dyDescent="0.25">
      <c r="L173" s="14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</row>
    <row r="174" spans="1:42" x14ac:dyDescent="0.25">
      <c r="L174" s="14"/>
    </row>
    <row r="175" spans="1:42" x14ac:dyDescent="0.25">
      <c r="L175" s="14"/>
    </row>
    <row r="176" spans="1:42" x14ac:dyDescent="0.25">
      <c r="L176" s="14"/>
    </row>
    <row r="177" spans="12:12" x14ac:dyDescent="0.25">
      <c r="L177" s="14"/>
    </row>
    <row r="178" spans="12:12" x14ac:dyDescent="0.25">
      <c r="L178" s="14"/>
    </row>
    <row r="179" spans="12:12" x14ac:dyDescent="0.25">
      <c r="L179" s="14"/>
    </row>
    <row r="180" spans="12:12" x14ac:dyDescent="0.25">
      <c r="L180" s="14"/>
    </row>
    <row r="181" spans="12:12" x14ac:dyDescent="0.25">
      <c r="L181" s="14"/>
    </row>
    <row r="182" spans="12:12" x14ac:dyDescent="0.25">
      <c r="L182" s="14"/>
    </row>
    <row r="183" spans="12:12" x14ac:dyDescent="0.25">
      <c r="L183" s="14"/>
    </row>
    <row r="184" spans="12:12" x14ac:dyDescent="0.25">
      <c r="L184" s="14"/>
    </row>
    <row r="185" spans="12:12" x14ac:dyDescent="0.25">
      <c r="L185" s="14"/>
    </row>
    <row r="186" spans="12:12" x14ac:dyDescent="0.25">
      <c r="L186" s="14"/>
    </row>
    <row r="187" spans="12:12" x14ac:dyDescent="0.25">
      <c r="L187" s="14"/>
    </row>
    <row r="188" spans="12:12" x14ac:dyDescent="0.25">
      <c r="L188" s="14"/>
    </row>
    <row r="189" spans="12:12" x14ac:dyDescent="0.25">
      <c r="L189" s="14"/>
    </row>
    <row r="190" spans="12:12" x14ac:dyDescent="0.25">
      <c r="L190" s="14"/>
    </row>
    <row r="191" spans="12:12" x14ac:dyDescent="0.25">
      <c r="L191" s="14"/>
    </row>
    <row r="192" spans="12:12" x14ac:dyDescent="0.25">
      <c r="L192" s="14"/>
    </row>
    <row r="193" spans="12:12" x14ac:dyDescent="0.25">
      <c r="L193" s="14"/>
    </row>
    <row r="194" spans="12:12" x14ac:dyDescent="0.25">
      <c r="L194" s="14"/>
    </row>
    <row r="195" spans="12:12" x14ac:dyDescent="0.25">
      <c r="L195" s="14"/>
    </row>
    <row r="196" spans="12:12" x14ac:dyDescent="0.25">
      <c r="L196" s="14"/>
    </row>
    <row r="197" spans="12:12" x14ac:dyDescent="0.25">
      <c r="L197" s="14"/>
    </row>
    <row r="198" spans="12:12" x14ac:dyDescent="0.25">
      <c r="L198" s="14"/>
    </row>
    <row r="199" spans="12:12" x14ac:dyDescent="0.25">
      <c r="L199" s="14"/>
    </row>
    <row r="200" spans="12:12" x14ac:dyDescent="0.25">
      <c r="L200" s="14"/>
    </row>
    <row r="201" spans="12:12" x14ac:dyDescent="0.25">
      <c r="L201" s="14"/>
    </row>
    <row r="202" spans="12:12" x14ac:dyDescent="0.25">
      <c r="L202" s="14"/>
    </row>
    <row r="203" spans="12:12" x14ac:dyDescent="0.25">
      <c r="L203" s="14"/>
    </row>
    <row r="204" spans="12:12" x14ac:dyDescent="0.25">
      <c r="L204" s="14"/>
    </row>
    <row r="205" spans="12:12" x14ac:dyDescent="0.25">
      <c r="L205" s="14"/>
    </row>
    <row r="206" spans="12:12" x14ac:dyDescent="0.25">
      <c r="L206" s="14"/>
    </row>
    <row r="207" spans="12:12" x14ac:dyDescent="0.25">
      <c r="L207" s="14"/>
    </row>
    <row r="208" spans="12:12" x14ac:dyDescent="0.25">
      <c r="L208" s="14"/>
    </row>
    <row r="209" spans="12:12" x14ac:dyDescent="0.25">
      <c r="L209" s="14"/>
    </row>
    <row r="210" spans="12:12" x14ac:dyDescent="0.25">
      <c r="L210" s="14"/>
    </row>
    <row r="211" spans="12:12" x14ac:dyDescent="0.25">
      <c r="L211" s="14"/>
    </row>
    <row r="212" spans="12:12" x14ac:dyDescent="0.25">
      <c r="L212" s="14"/>
    </row>
    <row r="213" spans="12:12" x14ac:dyDescent="0.25">
      <c r="L213" s="14"/>
    </row>
    <row r="214" spans="12:12" x14ac:dyDescent="0.25">
      <c r="L214" s="14"/>
    </row>
    <row r="215" spans="12:12" x14ac:dyDescent="0.25">
      <c r="L215" s="14"/>
    </row>
    <row r="216" spans="12:12" x14ac:dyDescent="0.25">
      <c r="L216" s="14"/>
    </row>
    <row r="217" spans="12:12" x14ac:dyDescent="0.25">
      <c r="L217" s="14"/>
    </row>
    <row r="218" spans="12:12" x14ac:dyDescent="0.25">
      <c r="L218" s="14"/>
    </row>
    <row r="219" spans="12:12" x14ac:dyDescent="0.25">
      <c r="L219" s="14"/>
    </row>
    <row r="220" spans="12:12" x14ac:dyDescent="0.25">
      <c r="L220" s="14"/>
    </row>
    <row r="221" spans="12:12" x14ac:dyDescent="0.25">
      <c r="L221" s="14"/>
    </row>
    <row r="222" spans="12:12" x14ac:dyDescent="0.25">
      <c r="L222" s="14"/>
    </row>
    <row r="223" spans="12:12" x14ac:dyDescent="0.25">
      <c r="L223" s="14"/>
    </row>
    <row r="224" spans="12:12" x14ac:dyDescent="0.25">
      <c r="L224" s="14"/>
    </row>
    <row r="225" spans="12:12" x14ac:dyDescent="0.25">
      <c r="L225" s="14"/>
    </row>
    <row r="226" spans="12:12" x14ac:dyDescent="0.25">
      <c r="L226" s="14"/>
    </row>
    <row r="227" spans="12:12" x14ac:dyDescent="0.25">
      <c r="L227" s="14"/>
    </row>
    <row r="228" spans="12:12" x14ac:dyDescent="0.25">
      <c r="L228" s="14"/>
    </row>
    <row r="229" spans="12:12" x14ac:dyDescent="0.25">
      <c r="L229" s="14"/>
    </row>
    <row r="230" spans="12:12" x14ac:dyDescent="0.25">
      <c r="L230" s="14"/>
    </row>
    <row r="231" spans="12:12" x14ac:dyDescent="0.25">
      <c r="L231" s="14"/>
    </row>
    <row r="232" spans="12:12" x14ac:dyDescent="0.25">
      <c r="L232" s="14"/>
    </row>
    <row r="233" spans="12:12" x14ac:dyDescent="0.25">
      <c r="L233" s="14"/>
    </row>
    <row r="234" spans="12:12" x14ac:dyDescent="0.25">
      <c r="L234" s="14"/>
    </row>
    <row r="235" spans="12:12" x14ac:dyDescent="0.25">
      <c r="L235" s="14"/>
    </row>
    <row r="236" spans="12:12" x14ac:dyDescent="0.25">
      <c r="L236" s="14"/>
    </row>
    <row r="237" spans="12:12" x14ac:dyDescent="0.25">
      <c r="L237" s="14"/>
    </row>
    <row r="238" spans="12:12" x14ac:dyDescent="0.25">
      <c r="L238" s="14"/>
    </row>
    <row r="239" spans="12:12" x14ac:dyDescent="0.25">
      <c r="L239" s="14"/>
    </row>
    <row r="240" spans="12:12" x14ac:dyDescent="0.25">
      <c r="L240" s="14"/>
    </row>
    <row r="241" spans="12:12" x14ac:dyDescent="0.25">
      <c r="L241" s="14"/>
    </row>
    <row r="242" spans="12:12" x14ac:dyDescent="0.25">
      <c r="L242" s="14"/>
    </row>
    <row r="243" spans="12:12" x14ac:dyDescent="0.25">
      <c r="L243" s="14"/>
    </row>
    <row r="244" spans="12:12" x14ac:dyDescent="0.25">
      <c r="L244" s="14"/>
    </row>
    <row r="245" spans="12:12" x14ac:dyDescent="0.25">
      <c r="L245" s="14"/>
    </row>
    <row r="246" spans="12:12" x14ac:dyDescent="0.25">
      <c r="L246" s="14"/>
    </row>
    <row r="247" spans="12:12" x14ac:dyDescent="0.25">
      <c r="L247" s="14"/>
    </row>
    <row r="248" spans="12:12" x14ac:dyDescent="0.25">
      <c r="L248" s="14"/>
    </row>
    <row r="249" spans="12:12" x14ac:dyDescent="0.25">
      <c r="L249" s="14"/>
    </row>
    <row r="250" spans="12:12" x14ac:dyDescent="0.25">
      <c r="L250" s="14"/>
    </row>
    <row r="251" spans="12:12" x14ac:dyDescent="0.25">
      <c r="L251" s="14"/>
    </row>
    <row r="252" spans="12:12" x14ac:dyDescent="0.25">
      <c r="L252" s="14"/>
    </row>
    <row r="253" spans="12:12" x14ac:dyDescent="0.25">
      <c r="L253" s="14"/>
    </row>
    <row r="254" spans="12:12" x14ac:dyDescent="0.25">
      <c r="L254" s="14"/>
    </row>
    <row r="255" spans="12:12" x14ac:dyDescent="0.25">
      <c r="L255" s="14"/>
    </row>
    <row r="256" spans="12:12" x14ac:dyDescent="0.25">
      <c r="L256" s="14"/>
    </row>
    <row r="257" spans="12:12" x14ac:dyDescent="0.25">
      <c r="L257" s="14"/>
    </row>
    <row r="258" spans="12:12" x14ac:dyDescent="0.25">
      <c r="L258" s="14"/>
    </row>
    <row r="259" spans="12:12" x14ac:dyDescent="0.25">
      <c r="L259" s="14"/>
    </row>
    <row r="260" spans="12:12" x14ac:dyDescent="0.25">
      <c r="L260" s="14"/>
    </row>
    <row r="261" spans="12:12" x14ac:dyDescent="0.25">
      <c r="L261" s="14"/>
    </row>
    <row r="262" spans="12:12" x14ac:dyDescent="0.25">
      <c r="L262" s="14"/>
    </row>
    <row r="263" spans="12:12" x14ac:dyDescent="0.25">
      <c r="L263" s="14"/>
    </row>
    <row r="264" spans="12:12" x14ac:dyDescent="0.25">
      <c r="L264" s="14"/>
    </row>
    <row r="265" spans="12:12" x14ac:dyDescent="0.25">
      <c r="L265" s="14"/>
    </row>
    <row r="266" spans="12:12" x14ac:dyDescent="0.25">
      <c r="L266" s="14"/>
    </row>
    <row r="267" spans="12:12" x14ac:dyDescent="0.25">
      <c r="L267" s="14"/>
    </row>
    <row r="268" spans="12:12" x14ac:dyDescent="0.25">
      <c r="L268" s="14"/>
    </row>
    <row r="269" spans="12:12" x14ac:dyDescent="0.25">
      <c r="L269" s="14"/>
    </row>
    <row r="270" spans="12:12" x14ac:dyDescent="0.25">
      <c r="L270" s="14"/>
    </row>
    <row r="271" spans="12:12" x14ac:dyDescent="0.25">
      <c r="L271" s="14"/>
    </row>
    <row r="272" spans="12:12" x14ac:dyDescent="0.25">
      <c r="L272" s="14"/>
    </row>
    <row r="273" spans="12:12" x14ac:dyDescent="0.25">
      <c r="L273" s="14"/>
    </row>
    <row r="274" spans="12:12" x14ac:dyDescent="0.25">
      <c r="L274" s="14"/>
    </row>
    <row r="275" spans="12:12" x14ac:dyDescent="0.25">
      <c r="L275" s="14"/>
    </row>
    <row r="276" spans="12:12" x14ac:dyDescent="0.25">
      <c r="L276" s="14"/>
    </row>
    <row r="277" spans="12:12" x14ac:dyDescent="0.25">
      <c r="L277" s="14"/>
    </row>
    <row r="278" spans="12:12" x14ac:dyDescent="0.25">
      <c r="L278" s="14"/>
    </row>
    <row r="279" spans="12:12" x14ac:dyDescent="0.25">
      <c r="L279" s="14"/>
    </row>
    <row r="280" spans="12:12" x14ac:dyDescent="0.25">
      <c r="L280" s="14"/>
    </row>
    <row r="281" spans="12:12" x14ac:dyDescent="0.25">
      <c r="L281" s="14"/>
    </row>
    <row r="282" spans="12:12" x14ac:dyDescent="0.25">
      <c r="L282" s="14"/>
    </row>
    <row r="283" spans="12:12" x14ac:dyDescent="0.25">
      <c r="L283" s="14"/>
    </row>
    <row r="284" spans="12:12" x14ac:dyDescent="0.25">
      <c r="L284" s="14"/>
    </row>
    <row r="285" spans="12:12" x14ac:dyDescent="0.25">
      <c r="L285" s="14"/>
    </row>
    <row r="286" spans="12:12" x14ac:dyDescent="0.25">
      <c r="L286" s="14"/>
    </row>
    <row r="287" spans="12:12" x14ac:dyDescent="0.25">
      <c r="L287" s="14"/>
    </row>
    <row r="288" spans="12:12" x14ac:dyDescent="0.25">
      <c r="L288" s="14"/>
    </row>
    <row r="289" spans="12:12" x14ac:dyDescent="0.25">
      <c r="L289" s="14"/>
    </row>
    <row r="290" spans="12:12" x14ac:dyDescent="0.25">
      <c r="L290" s="14"/>
    </row>
    <row r="291" spans="12:12" x14ac:dyDescent="0.25">
      <c r="L291" s="14"/>
    </row>
    <row r="292" spans="12:12" x14ac:dyDescent="0.25">
      <c r="L292" s="14"/>
    </row>
    <row r="293" spans="12:12" x14ac:dyDescent="0.25">
      <c r="L293" s="14"/>
    </row>
    <row r="294" spans="12:12" x14ac:dyDescent="0.25">
      <c r="L294" s="14"/>
    </row>
    <row r="295" spans="12:12" x14ac:dyDescent="0.25">
      <c r="L295" s="14"/>
    </row>
    <row r="296" spans="12:12" x14ac:dyDescent="0.25">
      <c r="L296" s="14"/>
    </row>
    <row r="297" spans="12:12" x14ac:dyDescent="0.25">
      <c r="L297" s="14"/>
    </row>
    <row r="298" spans="12:12" x14ac:dyDescent="0.25">
      <c r="L298" s="14"/>
    </row>
    <row r="299" spans="12:12" x14ac:dyDescent="0.25">
      <c r="L299" s="14"/>
    </row>
    <row r="300" spans="12:12" x14ac:dyDescent="0.25">
      <c r="L300" s="14"/>
    </row>
    <row r="301" spans="12:12" x14ac:dyDescent="0.25">
      <c r="L301" s="14"/>
    </row>
    <row r="302" spans="12:12" x14ac:dyDescent="0.25">
      <c r="L302" s="14"/>
    </row>
    <row r="303" spans="12:12" x14ac:dyDescent="0.25">
      <c r="L303" s="14"/>
    </row>
    <row r="304" spans="12:12" x14ac:dyDescent="0.25">
      <c r="L304" s="14"/>
    </row>
    <row r="305" spans="12:12" x14ac:dyDescent="0.25">
      <c r="L305" s="14"/>
    </row>
    <row r="306" spans="12:12" x14ac:dyDescent="0.25">
      <c r="L306" s="14"/>
    </row>
    <row r="307" spans="12:12" x14ac:dyDescent="0.25">
      <c r="L307" s="14"/>
    </row>
    <row r="308" spans="12:12" x14ac:dyDescent="0.25">
      <c r="L308" s="14"/>
    </row>
    <row r="309" spans="12:12" x14ac:dyDescent="0.25">
      <c r="L309" s="14"/>
    </row>
    <row r="310" spans="12:12" x14ac:dyDescent="0.25">
      <c r="L310" s="14"/>
    </row>
    <row r="311" spans="12:12" x14ac:dyDescent="0.25">
      <c r="L311" s="14"/>
    </row>
    <row r="312" spans="12:12" x14ac:dyDescent="0.25">
      <c r="L312" s="14"/>
    </row>
    <row r="313" spans="12:12" x14ac:dyDescent="0.25">
      <c r="L313" s="14"/>
    </row>
    <row r="314" spans="12:12" x14ac:dyDescent="0.25">
      <c r="L314" s="14"/>
    </row>
    <row r="315" spans="12:12" x14ac:dyDescent="0.25">
      <c r="L315" s="14"/>
    </row>
    <row r="316" spans="12:12" x14ac:dyDescent="0.25">
      <c r="L316" s="14"/>
    </row>
    <row r="317" spans="12:12" x14ac:dyDescent="0.25">
      <c r="L317" s="14"/>
    </row>
    <row r="318" spans="12:12" x14ac:dyDescent="0.25">
      <c r="L318" s="14"/>
    </row>
    <row r="319" spans="12:12" x14ac:dyDescent="0.25">
      <c r="L319" s="14"/>
    </row>
    <row r="320" spans="12:12" x14ac:dyDescent="0.25">
      <c r="L320" s="14"/>
    </row>
    <row r="321" spans="12:12" x14ac:dyDescent="0.25">
      <c r="L321" s="14"/>
    </row>
    <row r="322" spans="12:12" x14ac:dyDescent="0.25">
      <c r="L322" s="14"/>
    </row>
    <row r="323" spans="12:12" x14ac:dyDescent="0.25">
      <c r="L323" s="14"/>
    </row>
    <row r="324" spans="12:12" x14ac:dyDescent="0.25">
      <c r="L324" s="14"/>
    </row>
    <row r="325" spans="12:12" x14ac:dyDescent="0.25">
      <c r="L325" s="14"/>
    </row>
    <row r="326" spans="12:12" x14ac:dyDescent="0.25">
      <c r="L326" s="14"/>
    </row>
    <row r="327" spans="12:12" x14ac:dyDescent="0.25">
      <c r="L327" s="14"/>
    </row>
    <row r="328" spans="12:12" x14ac:dyDescent="0.25">
      <c r="L328" s="14"/>
    </row>
    <row r="329" spans="12:12" x14ac:dyDescent="0.25">
      <c r="L329" s="14"/>
    </row>
    <row r="330" spans="12:12" x14ac:dyDescent="0.25">
      <c r="L330" s="14"/>
    </row>
    <row r="331" spans="12:12" x14ac:dyDescent="0.25">
      <c r="L331" s="14"/>
    </row>
    <row r="332" spans="12:12" x14ac:dyDescent="0.25">
      <c r="L332" s="14"/>
    </row>
    <row r="333" spans="12:12" x14ac:dyDescent="0.25">
      <c r="L333" s="14"/>
    </row>
    <row r="334" spans="12:12" x14ac:dyDescent="0.25">
      <c r="L334" s="14"/>
    </row>
    <row r="335" spans="12:12" x14ac:dyDescent="0.25">
      <c r="L335" s="14"/>
    </row>
    <row r="336" spans="12:12" x14ac:dyDescent="0.25">
      <c r="L336" s="14"/>
    </row>
    <row r="337" spans="12:12" x14ac:dyDescent="0.25">
      <c r="L337" s="14"/>
    </row>
    <row r="338" spans="12:12" x14ac:dyDescent="0.25">
      <c r="L338" s="14"/>
    </row>
    <row r="339" spans="12:12" x14ac:dyDescent="0.25">
      <c r="L339" s="14"/>
    </row>
    <row r="340" spans="12:12" x14ac:dyDescent="0.25">
      <c r="L340" s="14"/>
    </row>
    <row r="341" spans="12:12" x14ac:dyDescent="0.25">
      <c r="L341" s="14"/>
    </row>
    <row r="342" spans="12:12" x14ac:dyDescent="0.25">
      <c r="L342" s="14"/>
    </row>
    <row r="343" spans="12:12" x14ac:dyDescent="0.25">
      <c r="L343" s="14"/>
    </row>
    <row r="344" spans="12:12" x14ac:dyDescent="0.25">
      <c r="L344" s="14"/>
    </row>
    <row r="345" spans="12:12" x14ac:dyDescent="0.25">
      <c r="L345" s="14"/>
    </row>
    <row r="346" spans="12:12" x14ac:dyDescent="0.25">
      <c r="L346" s="14"/>
    </row>
    <row r="347" spans="12:12" x14ac:dyDescent="0.25">
      <c r="L347" s="14"/>
    </row>
    <row r="348" spans="12:12" x14ac:dyDescent="0.25">
      <c r="L348" s="14"/>
    </row>
    <row r="349" spans="12:12" x14ac:dyDescent="0.25">
      <c r="L349" s="14"/>
    </row>
    <row r="350" spans="12:12" x14ac:dyDescent="0.25">
      <c r="L350" s="14"/>
    </row>
    <row r="351" spans="12:12" x14ac:dyDescent="0.25">
      <c r="L351" s="14"/>
    </row>
    <row r="352" spans="12:12" x14ac:dyDescent="0.25">
      <c r="L352" s="14"/>
    </row>
    <row r="353" spans="12:12" x14ac:dyDescent="0.25">
      <c r="L353" s="14"/>
    </row>
    <row r="354" spans="12:12" x14ac:dyDescent="0.25">
      <c r="L354" s="14"/>
    </row>
    <row r="355" spans="12:12" x14ac:dyDescent="0.25">
      <c r="L355" s="14"/>
    </row>
    <row r="356" spans="12:12" x14ac:dyDescent="0.25">
      <c r="L356" s="14"/>
    </row>
    <row r="357" spans="12:12" x14ac:dyDescent="0.25">
      <c r="L357" s="14"/>
    </row>
    <row r="358" spans="12:12" x14ac:dyDescent="0.25">
      <c r="L358" s="14"/>
    </row>
    <row r="359" spans="12:12" x14ac:dyDescent="0.25">
      <c r="L359" s="14"/>
    </row>
    <row r="360" spans="12:12" x14ac:dyDescent="0.25">
      <c r="L360" s="14"/>
    </row>
    <row r="361" spans="12:12" x14ac:dyDescent="0.25">
      <c r="L361" s="14"/>
    </row>
    <row r="362" spans="12:12" x14ac:dyDescent="0.25">
      <c r="L362" s="14"/>
    </row>
    <row r="363" spans="12:12" x14ac:dyDescent="0.25">
      <c r="L363" s="14"/>
    </row>
    <row r="364" spans="12:12" x14ac:dyDescent="0.25">
      <c r="L364" s="14"/>
    </row>
    <row r="365" spans="12:12" x14ac:dyDescent="0.25">
      <c r="L365" s="14"/>
    </row>
    <row r="366" spans="12:12" x14ac:dyDescent="0.25">
      <c r="L366" s="14"/>
    </row>
    <row r="367" spans="12:12" x14ac:dyDescent="0.25">
      <c r="L367" s="14"/>
    </row>
    <row r="368" spans="12:12" x14ac:dyDescent="0.25">
      <c r="L368" s="14"/>
    </row>
    <row r="369" spans="12:12" x14ac:dyDescent="0.25">
      <c r="L369" s="14"/>
    </row>
    <row r="370" spans="12:12" x14ac:dyDescent="0.25">
      <c r="L370" s="14"/>
    </row>
    <row r="371" spans="12:12" x14ac:dyDescent="0.25">
      <c r="L371" s="14"/>
    </row>
    <row r="372" spans="12:12" x14ac:dyDescent="0.25">
      <c r="L372" s="14"/>
    </row>
    <row r="373" spans="12:12" x14ac:dyDescent="0.25">
      <c r="L373" s="14"/>
    </row>
    <row r="374" spans="12:12" x14ac:dyDescent="0.25">
      <c r="L374" s="14"/>
    </row>
    <row r="375" spans="12:12" x14ac:dyDescent="0.25">
      <c r="L375" s="14"/>
    </row>
    <row r="376" spans="12:12" x14ac:dyDescent="0.25">
      <c r="L376" s="14"/>
    </row>
    <row r="377" spans="12:12" x14ac:dyDescent="0.25">
      <c r="L377" s="14"/>
    </row>
    <row r="378" spans="12:12" x14ac:dyDescent="0.25">
      <c r="L378" s="14"/>
    </row>
    <row r="379" spans="12:12" x14ac:dyDescent="0.25">
      <c r="L379" s="14"/>
    </row>
    <row r="380" spans="12:12" x14ac:dyDescent="0.25">
      <c r="L380" s="14"/>
    </row>
    <row r="381" spans="12:12" x14ac:dyDescent="0.25">
      <c r="L381" s="14"/>
    </row>
    <row r="382" spans="12:12" x14ac:dyDescent="0.25">
      <c r="L382" s="14"/>
    </row>
    <row r="383" spans="12:12" x14ac:dyDescent="0.25">
      <c r="L383" s="14"/>
    </row>
    <row r="384" spans="12:12" x14ac:dyDescent="0.25">
      <c r="L384" s="14"/>
    </row>
    <row r="385" spans="12:12" x14ac:dyDescent="0.25">
      <c r="L385" s="14"/>
    </row>
    <row r="386" spans="12:12" x14ac:dyDescent="0.25">
      <c r="L386" s="14"/>
    </row>
    <row r="387" spans="12:12" x14ac:dyDescent="0.25">
      <c r="L387" s="14"/>
    </row>
    <row r="388" spans="12:12" x14ac:dyDescent="0.25">
      <c r="L388" s="14"/>
    </row>
    <row r="389" spans="12:12" x14ac:dyDescent="0.25">
      <c r="L389" s="14"/>
    </row>
    <row r="390" spans="12:12" x14ac:dyDescent="0.25">
      <c r="L390" s="14"/>
    </row>
    <row r="391" spans="12:12" x14ac:dyDescent="0.25">
      <c r="L391" s="14"/>
    </row>
    <row r="392" spans="12:12" x14ac:dyDescent="0.25">
      <c r="L392" s="14"/>
    </row>
    <row r="393" spans="12:12" x14ac:dyDescent="0.25">
      <c r="L393" s="14"/>
    </row>
    <row r="394" spans="12:12" x14ac:dyDescent="0.25">
      <c r="L394" s="14"/>
    </row>
    <row r="395" spans="12:12" x14ac:dyDescent="0.25">
      <c r="L395" s="14"/>
    </row>
    <row r="396" spans="12:12" x14ac:dyDescent="0.25">
      <c r="L396" s="14"/>
    </row>
    <row r="397" spans="12:12" x14ac:dyDescent="0.25">
      <c r="L397" s="14"/>
    </row>
    <row r="398" spans="12:12" x14ac:dyDescent="0.25">
      <c r="L398" s="14"/>
    </row>
    <row r="399" spans="12:12" x14ac:dyDescent="0.25">
      <c r="L399" s="14"/>
    </row>
    <row r="400" spans="12:12" x14ac:dyDescent="0.25">
      <c r="L400" s="14"/>
    </row>
    <row r="401" spans="12:12" x14ac:dyDescent="0.25">
      <c r="L401" s="14"/>
    </row>
    <row r="402" spans="12:12" x14ac:dyDescent="0.25">
      <c r="L402" s="14"/>
    </row>
    <row r="403" spans="12:12" x14ac:dyDescent="0.25">
      <c r="L403" s="14"/>
    </row>
    <row r="404" spans="12:12" x14ac:dyDescent="0.25">
      <c r="L404" s="14"/>
    </row>
    <row r="405" spans="12:12" x14ac:dyDescent="0.25">
      <c r="L405" s="14"/>
    </row>
    <row r="406" spans="12:12" x14ac:dyDescent="0.25">
      <c r="L406" s="14"/>
    </row>
    <row r="407" spans="12:12" x14ac:dyDescent="0.25">
      <c r="L407" s="14"/>
    </row>
    <row r="408" spans="12:12" x14ac:dyDescent="0.25">
      <c r="L408" s="14"/>
    </row>
    <row r="409" spans="12:12" x14ac:dyDescent="0.25">
      <c r="L409" s="14"/>
    </row>
    <row r="410" spans="12:12" x14ac:dyDescent="0.25">
      <c r="L410" s="14"/>
    </row>
    <row r="411" spans="12:12" x14ac:dyDescent="0.25">
      <c r="L411" s="14"/>
    </row>
    <row r="412" spans="12:12" x14ac:dyDescent="0.25">
      <c r="L412" s="14"/>
    </row>
    <row r="413" spans="12:12" x14ac:dyDescent="0.25">
      <c r="L413" s="14"/>
    </row>
    <row r="414" spans="12:12" x14ac:dyDescent="0.25">
      <c r="L414" s="14"/>
    </row>
    <row r="415" spans="12:12" x14ac:dyDescent="0.25">
      <c r="L415" s="14"/>
    </row>
    <row r="416" spans="12:12" x14ac:dyDescent="0.25">
      <c r="L416" s="14"/>
    </row>
    <row r="417" spans="12:12" x14ac:dyDescent="0.25">
      <c r="L417" s="14"/>
    </row>
    <row r="418" spans="12:12" x14ac:dyDescent="0.25">
      <c r="L418" s="14"/>
    </row>
    <row r="419" spans="12:12" x14ac:dyDescent="0.25">
      <c r="L419" s="14"/>
    </row>
    <row r="420" spans="12:12" x14ac:dyDescent="0.25">
      <c r="L420" s="14"/>
    </row>
    <row r="421" spans="12:12" x14ac:dyDescent="0.25">
      <c r="L421" s="14"/>
    </row>
    <row r="422" spans="12:12" x14ac:dyDescent="0.25">
      <c r="L422" s="14"/>
    </row>
    <row r="423" spans="12:12" x14ac:dyDescent="0.25">
      <c r="L423" s="14"/>
    </row>
    <row r="424" spans="12:12" x14ac:dyDescent="0.25">
      <c r="L424" s="14"/>
    </row>
    <row r="425" spans="12:12" x14ac:dyDescent="0.25">
      <c r="L425" s="14"/>
    </row>
    <row r="426" spans="12:12" x14ac:dyDescent="0.25">
      <c r="L426" s="14"/>
    </row>
    <row r="427" spans="12:12" x14ac:dyDescent="0.25">
      <c r="L427" s="14"/>
    </row>
    <row r="428" spans="12:12" x14ac:dyDescent="0.25">
      <c r="L428" s="14"/>
    </row>
    <row r="429" spans="12:12" x14ac:dyDescent="0.25">
      <c r="L429" s="14"/>
    </row>
    <row r="430" spans="12:12" x14ac:dyDescent="0.25">
      <c r="L430" s="14"/>
    </row>
    <row r="431" spans="12:12" x14ac:dyDescent="0.25">
      <c r="L431" s="14"/>
    </row>
    <row r="432" spans="12:12" x14ac:dyDescent="0.25">
      <c r="L432" s="14"/>
    </row>
    <row r="433" spans="12:12" x14ac:dyDescent="0.25">
      <c r="L433" s="14"/>
    </row>
    <row r="434" spans="12:12" x14ac:dyDescent="0.25">
      <c r="L434" s="14"/>
    </row>
    <row r="435" spans="12:12" x14ac:dyDescent="0.25">
      <c r="L435" s="14"/>
    </row>
    <row r="436" spans="12:12" x14ac:dyDescent="0.25">
      <c r="L436" s="14"/>
    </row>
    <row r="437" spans="12:12" x14ac:dyDescent="0.25">
      <c r="L437" s="14"/>
    </row>
    <row r="438" spans="12:12" x14ac:dyDescent="0.25">
      <c r="L438" s="14"/>
    </row>
    <row r="439" spans="12:12" x14ac:dyDescent="0.25">
      <c r="L439" s="14"/>
    </row>
    <row r="440" spans="12:12" x14ac:dyDescent="0.25">
      <c r="L440" s="14"/>
    </row>
    <row r="441" spans="12:12" x14ac:dyDescent="0.25">
      <c r="L441" s="14"/>
    </row>
    <row r="442" spans="12:12" x14ac:dyDescent="0.25">
      <c r="L442" s="14"/>
    </row>
    <row r="443" spans="12:12" x14ac:dyDescent="0.25">
      <c r="L443" s="14"/>
    </row>
    <row r="444" spans="12:12" x14ac:dyDescent="0.25">
      <c r="L444" s="14"/>
    </row>
    <row r="445" spans="12:12" x14ac:dyDescent="0.25">
      <c r="L445" s="14"/>
    </row>
    <row r="446" spans="12:12" x14ac:dyDescent="0.25">
      <c r="L446" s="14"/>
    </row>
    <row r="447" spans="12:12" x14ac:dyDescent="0.25">
      <c r="L447" s="14"/>
    </row>
    <row r="448" spans="12:12" x14ac:dyDescent="0.25">
      <c r="L448" s="14"/>
    </row>
    <row r="449" spans="12:12" x14ac:dyDescent="0.25">
      <c r="L449" s="14"/>
    </row>
    <row r="450" spans="12:12" x14ac:dyDescent="0.25">
      <c r="L450" s="14"/>
    </row>
    <row r="451" spans="12:12" x14ac:dyDescent="0.25">
      <c r="L451" s="14"/>
    </row>
    <row r="452" spans="12:12" x14ac:dyDescent="0.25">
      <c r="L452" s="14"/>
    </row>
    <row r="453" spans="12:12" x14ac:dyDescent="0.25">
      <c r="L453" s="14"/>
    </row>
    <row r="454" spans="12:12" x14ac:dyDescent="0.25">
      <c r="L454" s="14"/>
    </row>
    <row r="455" spans="12:12" x14ac:dyDescent="0.25">
      <c r="L455" s="14"/>
    </row>
    <row r="456" spans="12:12" x14ac:dyDescent="0.25">
      <c r="L456" s="14"/>
    </row>
    <row r="457" spans="12:12" x14ac:dyDescent="0.25">
      <c r="L457" s="14"/>
    </row>
    <row r="458" spans="12:12" x14ac:dyDescent="0.25">
      <c r="L458" s="14"/>
    </row>
    <row r="459" spans="12:12" x14ac:dyDescent="0.25">
      <c r="L459" s="14"/>
    </row>
    <row r="460" spans="12:12" x14ac:dyDescent="0.25">
      <c r="L460" s="14"/>
    </row>
    <row r="461" spans="12:12" x14ac:dyDescent="0.25">
      <c r="L461" s="14"/>
    </row>
    <row r="462" spans="12:12" x14ac:dyDescent="0.25">
      <c r="L462" s="14"/>
    </row>
    <row r="463" spans="12:12" x14ac:dyDescent="0.25">
      <c r="L463" s="14"/>
    </row>
    <row r="464" spans="12:12" x14ac:dyDescent="0.25">
      <c r="L464" s="14"/>
    </row>
    <row r="465" spans="12:12" x14ac:dyDescent="0.25">
      <c r="L465" s="14"/>
    </row>
    <row r="466" spans="12:12" x14ac:dyDescent="0.25">
      <c r="L466" s="14"/>
    </row>
    <row r="467" spans="12:12" x14ac:dyDescent="0.25">
      <c r="L467" s="14"/>
    </row>
    <row r="468" spans="12:12" x14ac:dyDescent="0.25">
      <c r="L468" s="14"/>
    </row>
    <row r="469" spans="12:12" x14ac:dyDescent="0.25">
      <c r="L469" s="14"/>
    </row>
    <row r="470" spans="12:12" x14ac:dyDescent="0.25">
      <c r="L470" s="14"/>
    </row>
    <row r="471" spans="12:12" x14ac:dyDescent="0.25">
      <c r="L471" s="14"/>
    </row>
    <row r="472" spans="12:12" x14ac:dyDescent="0.25">
      <c r="L472" s="14"/>
    </row>
    <row r="473" spans="12:12" x14ac:dyDescent="0.25">
      <c r="L473" s="14"/>
    </row>
    <row r="474" spans="12:12" x14ac:dyDescent="0.25">
      <c r="L474" s="14"/>
    </row>
    <row r="475" spans="12:12" x14ac:dyDescent="0.25">
      <c r="L475" s="14"/>
    </row>
    <row r="476" spans="12:12" x14ac:dyDescent="0.25">
      <c r="L476" s="14"/>
    </row>
    <row r="477" spans="12:12" x14ac:dyDescent="0.25">
      <c r="L477" s="14"/>
    </row>
    <row r="478" spans="12:12" x14ac:dyDescent="0.25">
      <c r="L478" s="14"/>
    </row>
    <row r="479" spans="12:12" x14ac:dyDescent="0.25">
      <c r="L479" s="14"/>
    </row>
    <row r="480" spans="12:12" x14ac:dyDescent="0.25">
      <c r="L480" s="14"/>
    </row>
    <row r="481" spans="12:12" x14ac:dyDescent="0.25">
      <c r="L481" s="14"/>
    </row>
    <row r="482" spans="12:12" x14ac:dyDescent="0.25">
      <c r="L482" s="14"/>
    </row>
    <row r="483" spans="12:12" x14ac:dyDescent="0.25">
      <c r="L483" s="14"/>
    </row>
    <row r="484" spans="12:12" x14ac:dyDescent="0.25">
      <c r="L484" s="14"/>
    </row>
    <row r="485" spans="12:12" x14ac:dyDescent="0.25">
      <c r="L485" s="14"/>
    </row>
    <row r="486" spans="12:12" x14ac:dyDescent="0.25">
      <c r="L486" s="14"/>
    </row>
    <row r="487" spans="12:12" x14ac:dyDescent="0.25">
      <c r="L487" s="14"/>
    </row>
    <row r="488" spans="12:12" x14ac:dyDescent="0.25">
      <c r="L488" s="14"/>
    </row>
    <row r="489" spans="12:12" x14ac:dyDescent="0.25">
      <c r="L489" s="14"/>
    </row>
    <row r="490" spans="12:12" x14ac:dyDescent="0.25">
      <c r="L490" s="14"/>
    </row>
    <row r="491" spans="12:12" x14ac:dyDescent="0.25">
      <c r="L491" s="14"/>
    </row>
    <row r="492" spans="12:12" x14ac:dyDescent="0.25">
      <c r="L492" s="14"/>
    </row>
    <row r="493" spans="12:12" x14ac:dyDescent="0.25">
      <c r="L493" s="14"/>
    </row>
    <row r="494" spans="12:12" x14ac:dyDescent="0.25">
      <c r="L494" s="14"/>
    </row>
    <row r="495" spans="12:12" x14ac:dyDescent="0.25">
      <c r="L495" s="14"/>
    </row>
    <row r="496" spans="12:12" x14ac:dyDescent="0.25">
      <c r="L496" s="14"/>
    </row>
    <row r="497" spans="12:12" x14ac:dyDescent="0.25">
      <c r="L497" s="14"/>
    </row>
    <row r="498" spans="12:12" x14ac:dyDescent="0.25">
      <c r="L498" s="14"/>
    </row>
    <row r="499" spans="12:12" x14ac:dyDescent="0.25">
      <c r="L499" s="14"/>
    </row>
    <row r="500" spans="12:12" x14ac:dyDescent="0.25">
      <c r="L500" s="14"/>
    </row>
    <row r="501" spans="12:12" x14ac:dyDescent="0.25">
      <c r="L501" s="14"/>
    </row>
    <row r="502" spans="12:12" x14ac:dyDescent="0.25">
      <c r="L502" s="14"/>
    </row>
    <row r="503" spans="12:12" x14ac:dyDescent="0.25">
      <c r="L503" s="14"/>
    </row>
    <row r="504" spans="12:12" x14ac:dyDescent="0.25">
      <c r="L504" s="14"/>
    </row>
    <row r="505" spans="12:12" x14ac:dyDescent="0.25">
      <c r="L505" s="14"/>
    </row>
    <row r="506" spans="12:12" x14ac:dyDescent="0.25">
      <c r="L506" s="14"/>
    </row>
    <row r="507" spans="12:12" x14ac:dyDescent="0.25">
      <c r="L507" s="14"/>
    </row>
    <row r="508" spans="12:12" x14ac:dyDescent="0.25">
      <c r="L508" s="14"/>
    </row>
    <row r="509" spans="12:12" x14ac:dyDescent="0.25">
      <c r="L509" s="14"/>
    </row>
    <row r="510" spans="12:12" x14ac:dyDescent="0.25">
      <c r="L510" s="14"/>
    </row>
    <row r="511" spans="12:12" x14ac:dyDescent="0.25">
      <c r="L511" s="14"/>
    </row>
    <row r="512" spans="12:12" x14ac:dyDescent="0.25">
      <c r="L512" s="14"/>
    </row>
    <row r="513" spans="12:12" x14ac:dyDescent="0.25">
      <c r="L513" s="14"/>
    </row>
    <row r="514" spans="12:12" x14ac:dyDescent="0.25">
      <c r="L514" s="14"/>
    </row>
    <row r="515" spans="12:12" x14ac:dyDescent="0.25">
      <c r="L515" s="14"/>
    </row>
    <row r="516" spans="12:12" x14ac:dyDescent="0.25">
      <c r="L516" s="14"/>
    </row>
    <row r="517" spans="12:12" x14ac:dyDescent="0.25">
      <c r="L517" s="14"/>
    </row>
    <row r="518" spans="12:12" x14ac:dyDescent="0.25">
      <c r="L518" s="14"/>
    </row>
    <row r="519" spans="12:12" x14ac:dyDescent="0.25">
      <c r="L519" s="14"/>
    </row>
    <row r="520" spans="12:12" x14ac:dyDescent="0.25">
      <c r="L520" s="14"/>
    </row>
    <row r="521" spans="12:12" x14ac:dyDescent="0.25">
      <c r="L521" s="14"/>
    </row>
    <row r="522" spans="12:12" x14ac:dyDescent="0.25">
      <c r="L522" s="14"/>
    </row>
    <row r="523" spans="12:12" x14ac:dyDescent="0.25">
      <c r="L523" s="14"/>
    </row>
    <row r="524" spans="12:12" x14ac:dyDescent="0.25">
      <c r="L524" s="14"/>
    </row>
    <row r="525" spans="12:12" x14ac:dyDescent="0.25">
      <c r="L525" s="14"/>
    </row>
    <row r="526" spans="12:12" x14ac:dyDescent="0.25">
      <c r="L526" s="14"/>
    </row>
    <row r="527" spans="12:12" x14ac:dyDescent="0.25">
      <c r="L527" s="14"/>
    </row>
    <row r="528" spans="12:12" x14ac:dyDescent="0.25">
      <c r="L528" s="14"/>
    </row>
    <row r="529" spans="12:12" x14ac:dyDescent="0.25">
      <c r="L529" s="14"/>
    </row>
    <row r="530" spans="12:12" x14ac:dyDescent="0.25">
      <c r="L530" s="14"/>
    </row>
    <row r="531" spans="12:12" x14ac:dyDescent="0.25">
      <c r="L531" s="14"/>
    </row>
    <row r="532" spans="12:12" x14ac:dyDescent="0.25">
      <c r="L532" s="14"/>
    </row>
    <row r="533" spans="12:12" x14ac:dyDescent="0.25">
      <c r="L533" s="14"/>
    </row>
    <row r="534" spans="12:12" x14ac:dyDescent="0.25">
      <c r="L534" s="14"/>
    </row>
    <row r="535" spans="12:12" x14ac:dyDescent="0.25">
      <c r="L535" s="14"/>
    </row>
    <row r="536" spans="12:12" x14ac:dyDescent="0.25">
      <c r="L536" s="14"/>
    </row>
    <row r="537" spans="12:12" x14ac:dyDescent="0.25">
      <c r="L537" s="14"/>
    </row>
    <row r="538" spans="12:12" x14ac:dyDescent="0.25">
      <c r="L538" s="14"/>
    </row>
    <row r="539" spans="12:12" x14ac:dyDescent="0.25">
      <c r="L539" s="14"/>
    </row>
    <row r="540" spans="12:12" x14ac:dyDescent="0.25">
      <c r="L540" s="14"/>
    </row>
    <row r="541" spans="12:12" x14ac:dyDescent="0.25">
      <c r="L541" s="14"/>
    </row>
    <row r="542" spans="12:12" x14ac:dyDescent="0.25">
      <c r="L542" s="14"/>
    </row>
    <row r="543" spans="12:12" x14ac:dyDescent="0.25">
      <c r="L543" s="14"/>
    </row>
    <row r="544" spans="12:12" x14ac:dyDescent="0.25">
      <c r="L544" s="14"/>
    </row>
    <row r="545" spans="12:12" x14ac:dyDescent="0.25">
      <c r="L545" s="14"/>
    </row>
    <row r="546" spans="12:12" x14ac:dyDescent="0.25">
      <c r="L546" s="14"/>
    </row>
    <row r="547" spans="12:12" x14ac:dyDescent="0.25">
      <c r="L547" s="14"/>
    </row>
    <row r="548" spans="12:12" x14ac:dyDescent="0.25">
      <c r="L548" s="14"/>
    </row>
    <row r="549" spans="12:12" x14ac:dyDescent="0.25">
      <c r="L549" s="14"/>
    </row>
    <row r="550" spans="12:12" x14ac:dyDescent="0.25">
      <c r="L550" s="14"/>
    </row>
    <row r="551" spans="12:12" x14ac:dyDescent="0.25">
      <c r="L551" s="14"/>
    </row>
    <row r="552" spans="12:12" x14ac:dyDescent="0.25">
      <c r="L552" s="14"/>
    </row>
    <row r="553" spans="12:12" x14ac:dyDescent="0.25">
      <c r="L553" s="14"/>
    </row>
    <row r="554" spans="12:12" x14ac:dyDescent="0.25">
      <c r="L554" s="14"/>
    </row>
    <row r="555" spans="12:12" x14ac:dyDescent="0.25">
      <c r="L555" s="14"/>
    </row>
    <row r="556" spans="12:12" x14ac:dyDescent="0.25">
      <c r="L556" s="14"/>
    </row>
    <row r="557" spans="12:12" x14ac:dyDescent="0.25">
      <c r="L557" s="14"/>
    </row>
    <row r="558" spans="12:12" x14ac:dyDescent="0.25">
      <c r="L558" s="14"/>
    </row>
    <row r="559" spans="12:12" x14ac:dyDescent="0.25">
      <c r="L559" s="14"/>
    </row>
    <row r="560" spans="12:12" x14ac:dyDescent="0.25">
      <c r="L560" s="14"/>
    </row>
    <row r="561" spans="12:12" x14ac:dyDescent="0.25">
      <c r="L561" s="14"/>
    </row>
    <row r="562" spans="12:12" x14ac:dyDescent="0.25">
      <c r="L562" s="14"/>
    </row>
    <row r="563" spans="12:12" x14ac:dyDescent="0.25">
      <c r="L563" s="14"/>
    </row>
    <row r="564" spans="12:12" x14ac:dyDescent="0.25">
      <c r="L564" s="14"/>
    </row>
    <row r="565" spans="12:12" x14ac:dyDescent="0.25">
      <c r="L565" s="14"/>
    </row>
    <row r="566" spans="12:12" x14ac:dyDescent="0.25">
      <c r="L566" s="14"/>
    </row>
    <row r="567" spans="12:12" x14ac:dyDescent="0.25">
      <c r="L567" s="14"/>
    </row>
    <row r="568" spans="12:12" x14ac:dyDescent="0.25">
      <c r="L568" s="14"/>
    </row>
    <row r="569" spans="12:12" x14ac:dyDescent="0.25">
      <c r="L569" s="14"/>
    </row>
    <row r="570" spans="12:12" x14ac:dyDescent="0.25">
      <c r="L570" s="14"/>
    </row>
    <row r="571" spans="12:12" x14ac:dyDescent="0.25">
      <c r="L571" s="14"/>
    </row>
    <row r="572" spans="12:12" x14ac:dyDescent="0.25">
      <c r="L572" s="14"/>
    </row>
    <row r="573" spans="12:12" x14ac:dyDescent="0.25">
      <c r="L573" s="14"/>
    </row>
    <row r="574" spans="12:12" x14ac:dyDescent="0.25">
      <c r="L574" s="14"/>
    </row>
    <row r="575" spans="12:12" x14ac:dyDescent="0.25">
      <c r="L575" s="14"/>
    </row>
    <row r="576" spans="12:12" x14ac:dyDescent="0.25">
      <c r="L576" s="14"/>
    </row>
    <row r="577" spans="12:12" x14ac:dyDescent="0.25">
      <c r="L577" s="14"/>
    </row>
    <row r="578" spans="12:12" x14ac:dyDescent="0.25">
      <c r="L578" s="14"/>
    </row>
    <row r="579" spans="12:12" x14ac:dyDescent="0.25">
      <c r="L579" s="14"/>
    </row>
    <row r="580" spans="12:12" x14ac:dyDescent="0.25">
      <c r="L580" s="14"/>
    </row>
    <row r="581" spans="12:12" x14ac:dyDescent="0.25">
      <c r="L581" s="14"/>
    </row>
    <row r="582" spans="12:12" x14ac:dyDescent="0.25">
      <c r="L582" s="14"/>
    </row>
    <row r="583" spans="12:12" x14ac:dyDescent="0.25">
      <c r="L583" s="14"/>
    </row>
    <row r="584" spans="12:12" x14ac:dyDescent="0.25">
      <c r="L584" s="14"/>
    </row>
    <row r="585" spans="12:12" x14ac:dyDescent="0.25">
      <c r="L585" s="14"/>
    </row>
    <row r="586" spans="12:12" x14ac:dyDescent="0.25">
      <c r="L586" s="14"/>
    </row>
    <row r="587" spans="12:12" x14ac:dyDescent="0.25">
      <c r="L587" s="14"/>
    </row>
    <row r="588" spans="12:12" x14ac:dyDescent="0.25">
      <c r="L588" s="14"/>
    </row>
    <row r="589" spans="12:12" x14ac:dyDescent="0.25">
      <c r="L589" s="14"/>
    </row>
    <row r="590" spans="12:12" x14ac:dyDescent="0.25">
      <c r="L590" s="14"/>
    </row>
    <row r="591" spans="12:12" x14ac:dyDescent="0.25">
      <c r="L591" s="14"/>
    </row>
    <row r="592" spans="12:12" x14ac:dyDescent="0.25">
      <c r="L592" s="14"/>
    </row>
    <row r="593" spans="12:12" x14ac:dyDescent="0.25">
      <c r="L593" s="14"/>
    </row>
    <row r="594" spans="12:12" x14ac:dyDescent="0.25">
      <c r="L594" s="14"/>
    </row>
    <row r="595" spans="12:12" x14ac:dyDescent="0.25">
      <c r="L595" s="14"/>
    </row>
    <row r="596" spans="12:12" x14ac:dyDescent="0.25">
      <c r="L596" s="14"/>
    </row>
    <row r="597" spans="12:12" x14ac:dyDescent="0.25">
      <c r="L597" s="14"/>
    </row>
    <row r="598" spans="12:12" x14ac:dyDescent="0.25">
      <c r="L598" s="14"/>
    </row>
    <row r="599" spans="12:12" x14ac:dyDescent="0.25">
      <c r="L599" s="14"/>
    </row>
    <row r="600" spans="12:12" x14ac:dyDescent="0.25">
      <c r="L600" s="14"/>
    </row>
    <row r="601" spans="12:12" x14ac:dyDescent="0.25">
      <c r="L601" s="14"/>
    </row>
    <row r="602" spans="12:12" x14ac:dyDescent="0.25">
      <c r="L602" s="14"/>
    </row>
    <row r="603" spans="12:12" x14ac:dyDescent="0.25">
      <c r="L603" s="14"/>
    </row>
    <row r="604" spans="12:12" x14ac:dyDescent="0.25">
      <c r="L604" s="14"/>
    </row>
    <row r="605" spans="12:12" x14ac:dyDescent="0.25">
      <c r="L605" s="14"/>
    </row>
    <row r="606" spans="12:12" x14ac:dyDescent="0.25">
      <c r="L606" s="14"/>
    </row>
    <row r="607" spans="12:12" x14ac:dyDescent="0.25">
      <c r="L607" s="14"/>
    </row>
    <row r="608" spans="12:12" x14ac:dyDescent="0.25">
      <c r="L608" s="14"/>
    </row>
    <row r="609" spans="12:12" x14ac:dyDescent="0.25">
      <c r="L609" s="14"/>
    </row>
    <row r="610" spans="12:12" x14ac:dyDescent="0.25">
      <c r="L610" s="14"/>
    </row>
    <row r="611" spans="12:12" x14ac:dyDescent="0.25">
      <c r="L611" s="14"/>
    </row>
    <row r="612" spans="12:12" x14ac:dyDescent="0.25">
      <c r="L612" s="14"/>
    </row>
    <row r="613" spans="12:12" x14ac:dyDescent="0.25">
      <c r="L613" s="14"/>
    </row>
    <row r="614" spans="12:12" x14ac:dyDescent="0.25">
      <c r="L614" s="14"/>
    </row>
    <row r="615" spans="12:12" x14ac:dyDescent="0.25">
      <c r="L615" s="14"/>
    </row>
    <row r="616" spans="12:12" x14ac:dyDescent="0.25">
      <c r="L616" s="14"/>
    </row>
    <row r="617" spans="12:12" x14ac:dyDescent="0.25">
      <c r="L617" s="14"/>
    </row>
    <row r="618" spans="12:12" x14ac:dyDescent="0.25">
      <c r="L618" s="14"/>
    </row>
    <row r="619" spans="12:12" x14ac:dyDescent="0.25">
      <c r="L619" s="14"/>
    </row>
    <row r="620" spans="12:12" x14ac:dyDescent="0.25">
      <c r="L620" s="14"/>
    </row>
    <row r="621" spans="12:12" x14ac:dyDescent="0.25">
      <c r="L621" s="14"/>
    </row>
    <row r="622" spans="12:12" x14ac:dyDescent="0.25">
      <c r="L622" s="14"/>
    </row>
    <row r="623" spans="12:12" x14ac:dyDescent="0.25">
      <c r="L623" s="14"/>
    </row>
    <row r="624" spans="12:12" x14ac:dyDescent="0.25">
      <c r="L624" s="14"/>
    </row>
    <row r="625" spans="12:12" x14ac:dyDescent="0.25">
      <c r="L625" s="14"/>
    </row>
    <row r="626" spans="12:12" x14ac:dyDescent="0.25">
      <c r="L626" s="14"/>
    </row>
    <row r="627" spans="12:12" x14ac:dyDescent="0.25">
      <c r="L627" s="14"/>
    </row>
    <row r="628" spans="12:12" x14ac:dyDescent="0.25">
      <c r="L628" s="14"/>
    </row>
    <row r="629" spans="12:12" x14ac:dyDescent="0.25">
      <c r="L629" s="14"/>
    </row>
    <row r="630" spans="12:12" x14ac:dyDescent="0.25">
      <c r="L630" s="14"/>
    </row>
    <row r="631" spans="12:12" x14ac:dyDescent="0.25">
      <c r="L631" s="14"/>
    </row>
    <row r="632" spans="12:12" x14ac:dyDescent="0.25">
      <c r="L632" s="14"/>
    </row>
    <row r="633" spans="12:12" x14ac:dyDescent="0.25">
      <c r="L633" s="14"/>
    </row>
    <row r="634" spans="12:12" x14ac:dyDescent="0.25">
      <c r="L634" s="14"/>
    </row>
    <row r="635" spans="12:12" x14ac:dyDescent="0.25">
      <c r="L635" s="14"/>
    </row>
    <row r="636" spans="12:12" x14ac:dyDescent="0.25">
      <c r="L636" s="14"/>
    </row>
    <row r="637" spans="12:12" x14ac:dyDescent="0.25">
      <c r="L637" s="14"/>
    </row>
    <row r="638" spans="12:12" x14ac:dyDescent="0.25">
      <c r="L638" s="14"/>
    </row>
    <row r="639" spans="12:12" x14ac:dyDescent="0.25">
      <c r="L639" s="14"/>
    </row>
    <row r="640" spans="12:12" x14ac:dyDescent="0.25">
      <c r="L640" s="14"/>
    </row>
    <row r="641" spans="12:12" x14ac:dyDescent="0.25">
      <c r="L641" s="14"/>
    </row>
    <row r="642" spans="12:12" x14ac:dyDescent="0.25">
      <c r="L642" s="14"/>
    </row>
    <row r="643" spans="12:12" x14ac:dyDescent="0.25">
      <c r="L643" s="14"/>
    </row>
    <row r="644" spans="12:12" x14ac:dyDescent="0.25">
      <c r="L644" s="14"/>
    </row>
    <row r="645" spans="12:12" x14ac:dyDescent="0.25">
      <c r="L645" s="14"/>
    </row>
    <row r="646" spans="12:12" x14ac:dyDescent="0.25">
      <c r="L646" s="14"/>
    </row>
    <row r="647" spans="12:12" x14ac:dyDescent="0.25">
      <c r="L647" s="14"/>
    </row>
    <row r="648" spans="12:12" x14ac:dyDescent="0.25">
      <c r="L648" s="14"/>
    </row>
    <row r="649" spans="12:12" x14ac:dyDescent="0.25">
      <c r="L649" s="14"/>
    </row>
    <row r="650" spans="12:12" x14ac:dyDescent="0.25">
      <c r="L650" s="14"/>
    </row>
    <row r="651" spans="12:12" x14ac:dyDescent="0.25">
      <c r="L651" s="14"/>
    </row>
    <row r="652" spans="12:12" x14ac:dyDescent="0.25">
      <c r="L652" s="14"/>
    </row>
    <row r="653" spans="12:12" x14ac:dyDescent="0.25">
      <c r="L653" s="14"/>
    </row>
    <row r="654" spans="12:12" x14ac:dyDescent="0.25">
      <c r="L654" s="14"/>
    </row>
    <row r="655" spans="12:12" x14ac:dyDescent="0.25">
      <c r="L655" s="14"/>
    </row>
    <row r="656" spans="12:12" x14ac:dyDescent="0.25">
      <c r="L656" s="14"/>
    </row>
    <row r="657" spans="12:12" x14ac:dyDescent="0.25">
      <c r="L657" s="14"/>
    </row>
    <row r="658" spans="12:12" x14ac:dyDescent="0.25">
      <c r="L658" s="14"/>
    </row>
    <row r="659" spans="12:12" x14ac:dyDescent="0.25">
      <c r="L659" s="14"/>
    </row>
    <row r="660" spans="12:12" x14ac:dyDescent="0.25">
      <c r="L660" s="14"/>
    </row>
    <row r="661" spans="12:12" x14ac:dyDescent="0.25">
      <c r="L661" s="14"/>
    </row>
    <row r="662" spans="12:12" x14ac:dyDescent="0.25">
      <c r="L662" s="14"/>
    </row>
    <row r="663" spans="12:12" x14ac:dyDescent="0.25">
      <c r="L663" s="14"/>
    </row>
    <row r="664" spans="12:12" x14ac:dyDescent="0.25">
      <c r="L664" s="14"/>
    </row>
    <row r="665" spans="12:12" x14ac:dyDescent="0.25">
      <c r="L665" s="14"/>
    </row>
    <row r="666" spans="12:12" x14ac:dyDescent="0.25">
      <c r="L666" s="14"/>
    </row>
    <row r="667" spans="12:12" x14ac:dyDescent="0.25">
      <c r="L667" s="14"/>
    </row>
    <row r="668" spans="12:12" x14ac:dyDescent="0.25">
      <c r="L668" s="14"/>
    </row>
    <row r="669" spans="12:12" x14ac:dyDescent="0.25">
      <c r="L669" s="14"/>
    </row>
    <row r="670" spans="12:12" x14ac:dyDescent="0.25">
      <c r="L670" s="14"/>
    </row>
    <row r="671" spans="12:12" x14ac:dyDescent="0.25">
      <c r="L671" s="14"/>
    </row>
    <row r="672" spans="12:12" x14ac:dyDescent="0.25">
      <c r="L672" s="14"/>
    </row>
    <row r="673" spans="12:12" x14ac:dyDescent="0.25">
      <c r="L673" s="14"/>
    </row>
    <row r="674" spans="12:12" x14ac:dyDescent="0.25">
      <c r="L674" s="14"/>
    </row>
    <row r="675" spans="12:12" x14ac:dyDescent="0.25">
      <c r="L675" s="14"/>
    </row>
    <row r="676" spans="12:12" x14ac:dyDescent="0.25">
      <c r="L676" s="14"/>
    </row>
    <row r="677" spans="12:12" x14ac:dyDescent="0.25">
      <c r="L677" s="14"/>
    </row>
    <row r="678" spans="12:12" x14ac:dyDescent="0.25">
      <c r="L678" s="14"/>
    </row>
    <row r="679" spans="12:12" x14ac:dyDescent="0.25">
      <c r="L679" s="14"/>
    </row>
    <row r="680" spans="12:12" x14ac:dyDescent="0.25">
      <c r="L680" s="14"/>
    </row>
    <row r="681" spans="12:12" x14ac:dyDescent="0.25">
      <c r="L681" s="14"/>
    </row>
    <row r="682" spans="12:12" x14ac:dyDescent="0.25">
      <c r="L682" s="14"/>
    </row>
    <row r="683" spans="12:12" x14ac:dyDescent="0.25">
      <c r="L683" s="14"/>
    </row>
    <row r="684" spans="12:12" x14ac:dyDescent="0.25">
      <c r="L684" s="14"/>
    </row>
    <row r="685" spans="12:12" x14ac:dyDescent="0.25">
      <c r="L685" s="14"/>
    </row>
    <row r="686" spans="12:12" x14ac:dyDescent="0.25">
      <c r="L686" s="14"/>
    </row>
    <row r="687" spans="12:12" x14ac:dyDescent="0.25">
      <c r="L687" s="14"/>
    </row>
    <row r="688" spans="12:12" x14ac:dyDescent="0.25">
      <c r="L688" s="14"/>
    </row>
    <row r="689" spans="12:12" x14ac:dyDescent="0.25">
      <c r="L689" s="14"/>
    </row>
    <row r="690" spans="12:12" x14ac:dyDescent="0.25">
      <c r="L690" s="14"/>
    </row>
    <row r="691" spans="12:12" x14ac:dyDescent="0.25">
      <c r="L691" s="14"/>
    </row>
    <row r="692" spans="12:12" x14ac:dyDescent="0.25">
      <c r="L692" s="14"/>
    </row>
    <row r="693" spans="12:12" x14ac:dyDescent="0.25">
      <c r="L693" s="14"/>
    </row>
    <row r="694" spans="12:12" x14ac:dyDescent="0.25">
      <c r="L694" s="14"/>
    </row>
    <row r="695" spans="12:12" x14ac:dyDescent="0.25">
      <c r="L695" s="14"/>
    </row>
    <row r="696" spans="12:12" x14ac:dyDescent="0.25">
      <c r="L696" s="14"/>
    </row>
    <row r="697" spans="12:12" x14ac:dyDescent="0.25">
      <c r="L697" s="14"/>
    </row>
    <row r="698" spans="12:12" x14ac:dyDescent="0.25">
      <c r="L698" s="14"/>
    </row>
    <row r="699" spans="12:12" x14ac:dyDescent="0.25">
      <c r="L699" s="14"/>
    </row>
    <row r="700" spans="12:12" x14ac:dyDescent="0.25">
      <c r="L700" s="14"/>
    </row>
    <row r="701" spans="12:12" x14ac:dyDescent="0.25">
      <c r="L701" s="14"/>
    </row>
    <row r="702" spans="12:12" x14ac:dyDescent="0.25">
      <c r="L702" s="14"/>
    </row>
    <row r="703" spans="12:12" x14ac:dyDescent="0.25">
      <c r="L703" s="14"/>
    </row>
    <row r="704" spans="12:12" x14ac:dyDescent="0.25">
      <c r="L704" s="14"/>
    </row>
    <row r="705" spans="12:12" x14ac:dyDescent="0.25">
      <c r="L705" s="14"/>
    </row>
    <row r="706" spans="12:12" x14ac:dyDescent="0.25">
      <c r="L706" s="14"/>
    </row>
    <row r="707" spans="12:12" x14ac:dyDescent="0.25">
      <c r="L707" s="14"/>
    </row>
    <row r="708" spans="12:12" x14ac:dyDescent="0.25">
      <c r="L708" s="14"/>
    </row>
    <row r="709" spans="12:12" x14ac:dyDescent="0.25">
      <c r="L709" s="14"/>
    </row>
    <row r="710" spans="12:12" x14ac:dyDescent="0.25">
      <c r="L710" s="14"/>
    </row>
    <row r="711" spans="12:12" x14ac:dyDescent="0.25">
      <c r="L711" s="14"/>
    </row>
    <row r="712" spans="12:12" x14ac:dyDescent="0.25">
      <c r="L712" s="14"/>
    </row>
    <row r="713" spans="12:12" x14ac:dyDescent="0.25">
      <c r="L713" s="14"/>
    </row>
    <row r="714" spans="12:12" x14ac:dyDescent="0.25">
      <c r="L714" s="14"/>
    </row>
    <row r="715" spans="12:12" x14ac:dyDescent="0.25">
      <c r="L715" s="14"/>
    </row>
    <row r="716" spans="12:12" x14ac:dyDescent="0.25">
      <c r="L716" s="14"/>
    </row>
    <row r="717" spans="12:12" x14ac:dyDescent="0.25">
      <c r="L717" s="14"/>
    </row>
    <row r="718" spans="12:12" x14ac:dyDescent="0.25">
      <c r="L718" s="14"/>
    </row>
    <row r="719" spans="12:12" x14ac:dyDescent="0.25">
      <c r="L719" s="14"/>
    </row>
    <row r="720" spans="12:12" x14ac:dyDescent="0.25">
      <c r="L720" s="14"/>
    </row>
    <row r="721" spans="12:12" x14ac:dyDescent="0.25">
      <c r="L721" s="14"/>
    </row>
    <row r="722" spans="12:12" x14ac:dyDescent="0.25">
      <c r="L722" s="14"/>
    </row>
    <row r="723" spans="12:12" x14ac:dyDescent="0.25">
      <c r="L723" s="14"/>
    </row>
    <row r="724" spans="12:12" x14ac:dyDescent="0.25">
      <c r="L724" s="14"/>
    </row>
    <row r="725" spans="12:12" x14ac:dyDescent="0.25">
      <c r="L725" s="14"/>
    </row>
    <row r="726" spans="12:12" x14ac:dyDescent="0.25">
      <c r="L726" s="14"/>
    </row>
    <row r="727" spans="12:12" x14ac:dyDescent="0.25">
      <c r="L727" s="14"/>
    </row>
    <row r="728" spans="12:12" x14ac:dyDescent="0.25">
      <c r="L728" s="14"/>
    </row>
    <row r="729" spans="12:12" x14ac:dyDescent="0.25">
      <c r="L729" s="14"/>
    </row>
    <row r="730" spans="12:12" x14ac:dyDescent="0.25">
      <c r="L730" s="14"/>
    </row>
    <row r="731" spans="12:12" x14ac:dyDescent="0.25">
      <c r="L731" s="14"/>
    </row>
    <row r="732" spans="12:12" x14ac:dyDescent="0.25">
      <c r="L732" s="14"/>
    </row>
    <row r="733" spans="12:12" x14ac:dyDescent="0.25">
      <c r="L733" s="14"/>
    </row>
    <row r="734" spans="12:12" x14ac:dyDescent="0.25">
      <c r="L734" s="14"/>
    </row>
    <row r="735" spans="12:12" x14ac:dyDescent="0.25">
      <c r="L735" s="14"/>
    </row>
    <row r="736" spans="12:12" x14ac:dyDescent="0.25">
      <c r="L736" s="14"/>
    </row>
    <row r="737" spans="12:12" x14ac:dyDescent="0.25">
      <c r="L737" s="14"/>
    </row>
    <row r="738" spans="12:12" x14ac:dyDescent="0.25">
      <c r="L738" s="14"/>
    </row>
    <row r="739" spans="12:12" x14ac:dyDescent="0.25">
      <c r="L739" s="14"/>
    </row>
    <row r="740" spans="12:12" x14ac:dyDescent="0.25">
      <c r="L740" s="14"/>
    </row>
    <row r="741" spans="12:12" x14ac:dyDescent="0.25">
      <c r="L741" s="14"/>
    </row>
    <row r="742" spans="12:12" x14ac:dyDescent="0.25">
      <c r="L742" s="14"/>
    </row>
    <row r="743" spans="12:12" x14ac:dyDescent="0.25">
      <c r="L743" s="14"/>
    </row>
    <row r="744" spans="12:12" x14ac:dyDescent="0.25">
      <c r="L744" s="14"/>
    </row>
    <row r="745" spans="12:12" x14ac:dyDescent="0.25">
      <c r="L745" s="14"/>
    </row>
    <row r="746" spans="12:12" x14ac:dyDescent="0.25">
      <c r="L746" s="14"/>
    </row>
    <row r="747" spans="12:12" x14ac:dyDescent="0.25">
      <c r="L747" s="14"/>
    </row>
    <row r="748" spans="12:12" x14ac:dyDescent="0.25">
      <c r="L748" s="14"/>
    </row>
    <row r="749" spans="12:12" x14ac:dyDescent="0.25">
      <c r="L749" s="14"/>
    </row>
    <row r="750" spans="12:12" x14ac:dyDescent="0.25">
      <c r="L750" s="14"/>
    </row>
    <row r="751" spans="12:12" x14ac:dyDescent="0.25">
      <c r="L751" s="14"/>
    </row>
    <row r="752" spans="12:12" x14ac:dyDescent="0.25">
      <c r="L752" s="14"/>
    </row>
    <row r="753" spans="12:12" x14ac:dyDescent="0.25">
      <c r="L753" s="14"/>
    </row>
    <row r="754" spans="12:12" x14ac:dyDescent="0.25">
      <c r="L754" s="14"/>
    </row>
    <row r="755" spans="12:12" x14ac:dyDescent="0.25">
      <c r="L755" s="14"/>
    </row>
    <row r="756" spans="12:12" x14ac:dyDescent="0.25">
      <c r="L756" s="14"/>
    </row>
    <row r="757" spans="12:12" x14ac:dyDescent="0.25">
      <c r="L757" s="14"/>
    </row>
    <row r="758" spans="12:12" x14ac:dyDescent="0.25">
      <c r="L758" s="14"/>
    </row>
    <row r="759" spans="12:12" x14ac:dyDescent="0.25">
      <c r="L759" s="14"/>
    </row>
    <row r="760" spans="12:12" x14ac:dyDescent="0.25">
      <c r="L760" s="14"/>
    </row>
    <row r="761" spans="12:12" x14ac:dyDescent="0.25">
      <c r="L761" s="14"/>
    </row>
    <row r="762" spans="12:12" x14ac:dyDescent="0.25">
      <c r="L762" s="14"/>
    </row>
    <row r="763" spans="12:12" x14ac:dyDescent="0.25">
      <c r="L763" s="14"/>
    </row>
    <row r="764" spans="12:12" x14ac:dyDescent="0.25">
      <c r="L764" s="14"/>
    </row>
    <row r="765" spans="12:12" x14ac:dyDescent="0.25">
      <c r="L765" s="14"/>
    </row>
    <row r="766" spans="12:12" x14ac:dyDescent="0.25">
      <c r="L766" s="14"/>
    </row>
    <row r="767" spans="12:12" x14ac:dyDescent="0.25">
      <c r="L767" s="14"/>
    </row>
    <row r="768" spans="12:12" x14ac:dyDescent="0.25">
      <c r="L768" s="14"/>
    </row>
    <row r="769" spans="12:12" x14ac:dyDescent="0.25">
      <c r="L769" s="14"/>
    </row>
    <row r="770" spans="12:12" x14ac:dyDescent="0.25">
      <c r="L770" s="14"/>
    </row>
    <row r="771" spans="12:12" x14ac:dyDescent="0.25">
      <c r="L771" s="14"/>
    </row>
    <row r="772" spans="12:12" x14ac:dyDescent="0.25">
      <c r="L772" s="14"/>
    </row>
    <row r="773" spans="12:12" x14ac:dyDescent="0.25">
      <c r="L773" s="14"/>
    </row>
    <row r="774" spans="12:12" x14ac:dyDescent="0.25">
      <c r="L774" s="14"/>
    </row>
    <row r="775" spans="12:12" x14ac:dyDescent="0.25">
      <c r="L775" s="14"/>
    </row>
    <row r="776" spans="12:12" x14ac:dyDescent="0.25">
      <c r="L776" s="14"/>
    </row>
    <row r="777" spans="12:12" x14ac:dyDescent="0.25">
      <c r="L777" s="14"/>
    </row>
    <row r="778" spans="12:12" x14ac:dyDescent="0.25">
      <c r="L778" s="14"/>
    </row>
    <row r="779" spans="12:12" x14ac:dyDescent="0.25">
      <c r="L779" s="14"/>
    </row>
    <row r="780" spans="12:12" x14ac:dyDescent="0.25">
      <c r="L780" s="14"/>
    </row>
    <row r="781" spans="12:12" x14ac:dyDescent="0.25">
      <c r="L781" s="14"/>
    </row>
    <row r="782" spans="12:12" x14ac:dyDescent="0.25">
      <c r="L782" s="14"/>
    </row>
    <row r="783" spans="12:12" x14ac:dyDescent="0.25">
      <c r="L783" s="14"/>
    </row>
    <row r="784" spans="12:12" x14ac:dyDescent="0.25">
      <c r="L784" s="14"/>
    </row>
    <row r="785" spans="12:12" x14ac:dyDescent="0.25">
      <c r="L785" s="14"/>
    </row>
    <row r="786" spans="12:12" x14ac:dyDescent="0.25">
      <c r="L786" s="14"/>
    </row>
    <row r="787" spans="12:12" x14ac:dyDescent="0.25">
      <c r="L787" s="14"/>
    </row>
    <row r="788" spans="12:12" x14ac:dyDescent="0.25">
      <c r="L788" s="14"/>
    </row>
    <row r="789" spans="12:12" x14ac:dyDescent="0.25">
      <c r="L789" s="14"/>
    </row>
    <row r="790" spans="12:12" x14ac:dyDescent="0.25">
      <c r="L790" s="14"/>
    </row>
    <row r="791" spans="12:12" x14ac:dyDescent="0.25">
      <c r="L791" s="14"/>
    </row>
    <row r="792" spans="12:12" x14ac:dyDescent="0.25">
      <c r="L792" s="14"/>
    </row>
    <row r="793" spans="12:12" x14ac:dyDescent="0.25">
      <c r="L793" s="14"/>
    </row>
    <row r="794" spans="12:12" x14ac:dyDescent="0.25">
      <c r="L794" s="14"/>
    </row>
    <row r="795" spans="12:12" x14ac:dyDescent="0.25">
      <c r="L795" s="14"/>
    </row>
    <row r="796" spans="12:12" x14ac:dyDescent="0.25">
      <c r="L796" s="14"/>
    </row>
    <row r="797" spans="12:12" x14ac:dyDescent="0.25">
      <c r="L797" s="14"/>
    </row>
    <row r="798" spans="12:12" x14ac:dyDescent="0.25">
      <c r="L798" s="14"/>
    </row>
    <row r="799" spans="12:12" x14ac:dyDescent="0.25">
      <c r="L799" s="14"/>
    </row>
    <row r="800" spans="12:12" x14ac:dyDescent="0.25">
      <c r="L800" s="14"/>
    </row>
    <row r="801" spans="12:12" x14ac:dyDescent="0.25">
      <c r="L801" s="14"/>
    </row>
    <row r="802" spans="12:12" x14ac:dyDescent="0.25">
      <c r="L802" s="14"/>
    </row>
    <row r="803" spans="12:12" x14ac:dyDescent="0.25">
      <c r="L803" s="14"/>
    </row>
    <row r="804" spans="12:12" x14ac:dyDescent="0.25">
      <c r="L804" s="14"/>
    </row>
    <row r="805" spans="12:12" x14ac:dyDescent="0.25">
      <c r="L805" s="14"/>
    </row>
    <row r="806" spans="12:12" x14ac:dyDescent="0.25">
      <c r="L806" s="14"/>
    </row>
    <row r="807" spans="12:12" x14ac:dyDescent="0.25">
      <c r="L807" s="14"/>
    </row>
    <row r="808" spans="12:12" x14ac:dyDescent="0.25">
      <c r="L808" s="14"/>
    </row>
    <row r="809" spans="12:12" x14ac:dyDescent="0.25">
      <c r="L809" s="14"/>
    </row>
    <row r="810" spans="12:12" x14ac:dyDescent="0.25">
      <c r="L810" s="14"/>
    </row>
    <row r="811" spans="12:12" x14ac:dyDescent="0.25">
      <c r="L811" s="14"/>
    </row>
    <row r="812" spans="12:12" x14ac:dyDescent="0.25">
      <c r="L812" s="14"/>
    </row>
    <row r="813" spans="12:12" x14ac:dyDescent="0.25">
      <c r="L813" s="14"/>
    </row>
    <row r="814" spans="12:12" x14ac:dyDescent="0.25">
      <c r="L814" s="14"/>
    </row>
    <row r="815" spans="12:12" x14ac:dyDescent="0.25">
      <c r="L815" s="14"/>
    </row>
    <row r="816" spans="12:12" x14ac:dyDescent="0.25">
      <c r="L816" s="14"/>
    </row>
    <row r="817" spans="12:12" x14ac:dyDescent="0.25">
      <c r="L817" s="14"/>
    </row>
    <row r="818" spans="12:12" x14ac:dyDescent="0.25">
      <c r="L818" s="14"/>
    </row>
    <row r="819" spans="12:12" x14ac:dyDescent="0.25">
      <c r="L819" s="14"/>
    </row>
    <row r="820" spans="12:12" x14ac:dyDescent="0.25">
      <c r="L820" s="14"/>
    </row>
    <row r="821" spans="12:12" x14ac:dyDescent="0.25">
      <c r="L821" s="14"/>
    </row>
    <row r="822" spans="12:12" x14ac:dyDescent="0.25">
      <c r="L822" s="14"/>
    </row>
    <row r="823" spans="12:12" x14ac:dyDescent="0.25">
      <c r="L823" s="14"/>
    </row>
    <row r="824" spans="12:12" x14ac:dyDescent="0.25">
      <c r="L824" s="14"/>
    </row>
    <row r="825" spans="12:12" x14ac:dyDescent="0.25">
      <c r="L825" s="14"/>
    </row>
    <row r="826" spans="12:12" x14ac:dyDescent="0.25">
      <c r="L826" s="14"/>
    </row>
    <row r="827" spans="12:12" x14ac:dyDescent="0.25">
      <c r="L827" s="14"/>
    </row>
    <row r="828" spans="12:12" x14ac:dyDescent="0.25">
      <c r="L828" s="14"/>
    </row>
    <row r="829" spans="12:12" x14ac:dyDescent="0.25">
      <c r="L829" s="14"/>
    </row>
    <row r="830" spans="12:12" x14ac:dyDescent="0.25">
      <c r="L830" s="14"/>
    </row>
    <row r="831" spans="12:12" x14ac:dyDescent="0.25">
      <c r="L831" s="14"/>
    </row>
    <row r="832" spans="12:12" x14ac:dyDescent="0.25">
      <c r="L832" s="14"/>
    </row>
    <row r="833" spans="12:12" x14ac:dyDescent="0.25">
      <c r="L833" s="14"/>
    </row>
    <row r="834" spans="12:12" x14ac:dyDescent="0.25">
      <c r="L834" s="14"/>
    </row>
    <row r="835" spans="12:12" x14ac:dyDescent="0.25">
      <c r="L835" s="14"/>
    </row>
    <row r="836" spans="12:12" x14ac:dyDescent="0.25">
      <c r="L836" s="14"/>
    </row>
    <row r="837" spans="12:12" x14ac:dyDescent="0.25">
      <c r="L837" s="14"/>
    </row>
    <row r="838" spans="12:12" x14ac:dyDescent="0.25">
      <c r="L838" s="14"/>
    </row>
    <row r="839" spans="12:12" x14ac:dyDescent="0.25">
      <c r="L839" s="14"/>
    </row>
    <row r="840" spans="12:12" x14ac:dyDescent="0.25">
      <c r="L840" s="14"/>
    </row>
    <row r="841" spans="12:12" x14ac:dyDescent="0.25">
      <c r="L841" s="14"/>
    </row>
    <row r="842" spans="12:12" x14ac:dyDescent="0.25">
      <c r="L842" s="14"/>
    </row>
    <row r="843" spans="12:12" x14ac:dyDescent="0.25">
      <c r="L843" s="14"/>
    </row>
    <row r="844" spans="12:12" x14ac:dyDescent="0.25">
      <c r="L844" s="14"/>
    </row>
    <row r="845" spans="12:12" x14ac:dyDescent="0.25">
      <c r="L845" s="14"/>
    </row>
    <row r="846" spans="12:12" x14ac:dyDescent="0.25">
      <c r="L846" s="14"/>
    </row>
    <row r="847" spans="12:12" x14ac:dyDescent="0.25">
      <c r="L847" s="14"/>
    </row>
    <row r="848" spans="12:12" x14ac:dyDescent="0.25">
      <c r="L848" s="14"/>
    </row>
    <row r="849" spans="12:12" x14ac:dyDescent="0.25">
      <c r="L849" s="14"/>
    </row>
    <row r="850" spans="12:12" x14ac:dyDescent="0.25">
      <c r="L850" s="14"/>
    </row>
    <row r="851" spans="12:12" x14ac:dyDescent="0.25">
      <c r="L851" s="14"/>
    </row>
    <row r="852" spans="12:12" x14ac:dyDescent="0.25">
      <c r="L852" s="14"/>
    </row>
    <row r="853" spans="12:12" x14ac:dyDescent="0.25">
      <c r="L853" s="14"/>
    </row>
    <row r="854" spans="12:12" x14ac:dyDescent="0.25">
      <c r="L854" s="14"/>
    </row>
    <row r="855" spans="12:12" x14ac:dyDescent="0.25">
      <c r="L855" s="14"/>
    </row>
    <row r="856" spans="12:12" x14ac:dyDescent="0.25">
      <c r="L856" s="14"/>
    </row>
    <row r="857" spans="12:12" x14ac:dyDescent="0.25">
      <c r="L857" s="14"/>
    </row>
    <row r="858" spans="12:12" x14ac:dyDescent="0.25">
      <c r="L858" s="14"/>
    </row>
    <row r="859" spans="12:12" x14ac:dyDescent="0.25">
      <c r="L859" s="14"/>
    </row>
    <row r="860" spans="12:12" x14ac:dyDescent="0.25">
      <c r="L860" s="14"/>
    </row>
    <row r="861" spans="12:12" x14ac:dyDescent="0.25">
      <c r="L861" s="14"/>
    </row>
    <row r="862" spans="12:12" x14ac:dyDescent="0.25">
      <c r="L862" s="14"/>
    </row>
    <row r="863" spans="12:12" x14ac:dyDescent="0.25">
      <c r="L863" s="14"/>
    </row>
    <row r="864" spans="12:12" x14ac:dyDescent="0.25">
      <c r="L864" s="14"/>
    </row>
    <row r="865" spans="12:12" x14ac:dyDescent="0.25">
      <c r="L865" s="14"/>
    </row>
    <row r="866" spans="12:12" x14ac:dyDescent="0.25">
      <c r="L866" s="14"/>
    </row>
    <row r="867" spans="12:12" x14ac:dyDescent="0.25">
      <c r="L867" s="14"/>
    </row>
    <row r="868" spans="12:12" x14ac:dyDescent="0.25">
      <c r="L868" s="14"/>
    </row>
    <row r="869" spans="12:12" x14ac:dyDescent="0.25">
      <c r="L869" s="14"/>
    </row>
    <row r="870" spans="12:12" x14ac:dyDescent="0.25">
      <c r="L870" s="14"/>
    </row>
    <row r="871" spans="12:12" x14ac:dyDescent="0.25">
      <c r="L871" s="14"/>
    </row>
    <row r="872" spans="12:12" x14ac:dyDescent="0.25">
      <c r="L872" s="14"/>
    </row>
    <row r="873" spans="12:12" x14ac:dyDescent="0.25">
      <c r="L873" s="14"/>
    </row>
    <row r="874" spans="12:12" x14ac:dyDescent="0.25">
      <c r="L874" s="14"/>
    </row>
    <row r="875" spans="12:12" x14ac:dyDescent="0.25">
      <c r="L875" s="14"/>
    </row>
    <row r="876" spans="12:12" x14ac:dyDescent="0.25">
      <c r="L876" s="14"/>
    </row>
    <row r="877" spans="12:12" x14ac:dyDescent="0.25">
      <c r="L877" s="14"/>
    </row>
    <row r="878" spans="12:12" x14ac:dyDescent="0.25">
      <c r="L878" s="14"/>
    </row>
    <row r="879" spans="12:12" x14ac:dyDescent="0.25">
      <c r="L879" s="14"/>
    </row>
    <row r="880" spans="12:12" x14ac:dyDescent="0.25">
      <c r="L880" s="14"/>
    </row>
    <row r="881" spans="12:12" x14ac:dyDescent="0.25">
      <c r="L881" s="14"/>
    </row>
    <row r="882" spans="12:12" x14ac:dyDescent="0.25">
      <c r="L882" s="14"/>
    </row>
    <row r="883" spans="12:12" x14ac:dyDescent="0.25">
      <c r="L883" s="14"/>
    </row>
    <row r="884" spans="12:12" x14ac:dyDescent="0.25">
      <c r="L884" s="14"/>
    </row>
    <row r="885" spans="12:12" x14ac:dyDescent="0.25">
      <c r="L885" s="14"/>
    </row>
    <row r="886" spans="12:12" x14ac:dyDescent="0.25">
      <c r="L886" s="14"/>
    </row>
    <row r="887" spans="12:12" x14ac:dyDescent="0.25">
      <c r="L887" s="14"/>
    </row>
    <row r="888" spans="12:12" x14ac:dyDescent="0.25">
      <c r="L888" s="14"/>
    </row>
    <row r="889" spans="12:12" x14ac:dyDescent="0.25">
      <c r="L889" s="14"/>
    </row>
    <row r="890" spans="12:12" x14ac:dyDescent="0.25">
      <c r="L890" s="14"/>
    </row>
    <row r="891" spans="12:12" x14ac:dyDescent="0.25">
      <c r="L891" s="14"/>
    </row>
    <row r="892" spans="12:12" x14ac:dyDescent="0.25">
      <c r="L892" s="14"/>
    </row>
    <row r="893" spans="12:12" x14ac:dyDescent="0.25">
      <c r="L893" s="14"/>
    </row>
    <row r="894" spans="12:12" x14ac:dyDescent="0.25">
      <c r="L894" s="14"/>
    </row>
    <row r="895" spans="12:12" x14ac:dyDescent="0.25">
      <c r="L895" s="14"/>
    </row>
    <row r="896" spans="12:12" x14ac:dyDescent="0.25">
      <c r="L896" s="14"/>
    </row>
    <row r="897" spans="12:12" x14ac:dyDescent="0.25">
      <c r="L897" s="14"/>
    </row>
    <row r="898" spans="12:12" x14ac:dyDescent="0.25">
      <c r="L898" s="14"/>
    </row>
    <row r="899" spans="12:12" x14ac:dyDescent="0.25">
      <c r="L899" s="14"/>
    </row>
    <row r="900" spans="12:12" x14ac:dyDescent="0.25">
      <c r="L900" s="14"/>
    </row>
    <row r="901" spans="12:12" x14ac:dyDescent="0.25">
      <c r="L901" s="14"/>
    </row>
    <row r="902" spans="12:12" x14ac:dyDescent="0.25">
      <c r="L902" s="14"/>
    </row>
    <row r="903" spans="12:12" x14ac:dyDescent="0.25">
      <c r="L903" s="14"/>
    </row>
    <row r="904" spans="12:12" x14ac:dyDescent="0.25">
      <c r="L904" s="14"/>
    </row>
    <row r="905" spans="12:12" x14ac:dyDescent="0.25">
      <c r="L905" s="14"/>
    </row>
    <row r="906" spans="12:12" x14ac:dyDescent="0.25">
      <c r="L906" s="14"/>
    </row>
    <row r="907" spans="12:12" x14ac:dyDescent="0.25">
      <c r="L907" s="14"/>
    </row>
    <row r="908" spans="12:12" x14ac:dyDescent="0.25">
      <c r="L908" s="14"/>
    </row>
    <row r="909" spans="12:12" x14ac:dyDescent="0.25">
      <c r="L909" s="14"/>
    </row>
    <row r="910" spans="12:12" x14ac:dyDescent="0.25">
      <c r="L910" s="14"/>
    </row>
    <row r="911" spans="12:12" x14ac:dyDescent="0.25">
      <c r="L911" s="14"/>
    </row>
    <row r="912" spans="12:12" x14ac:dyDescent="0.25">
      <c r="L912" s="14"/>
    </row>
    <row r="913" spans="12:12" x14ac:dyDescent="0.25">
      <c r="L913" s="14"/>
    </row>
    <row r="914" spans="12:12" x14ac:dyDescent="0.25">
      <c r="L914" s="14"/>
    </row>
    <row r="915" spans="12:12" x14ac:dyDescent="0.25">
      <c r="L915" s="14"/>
    </row>
    <row r="916" spans="12:12" x14ac:dyDescent="0.25">
      <c r="L916" s="14"/>
    </row>
    <row r="917" spans="12:12" x14ac:dyDescent="0.25">
      <c r="L917" s="14"/>
    </row>
    <row r="918" spans="12:12" x14ac:dyDescent="0.25">
      <c r="L918" s="14"/>
    </row>
    <row r="919" spans="12:12" x14ac:dyDescent="0.25">
      <c r="L919" s="14"/>
    </row>
    <row r="920" spans="12:12" x14ac:dyDescent="0.25">
      <c r="L920" s="14"/>
    </row>
    <row r="921" spans="12:12" x14ac:dyDescent="0.25">
      <c r="L921" s="14"/>
    </row>
    <row r="922" spans="12:12" x14ac:dyDescent="0.25">
      <c r="L922" s="14"/>
    </row>
    <row r="923" spans="12:12" x14ac:dyDescent="0.25">
      <c r="L923" s="14"/>
    </row>
    <row r="924" spans="12:12" x14ac:dyDescent="0.25">
      <c r="L924" s="14"/>
    </row>
    <row r="925" spans="12:12" x14ac:dyDescent="0.25">
      <c r="L925" s="14"/>
    </row>
    <row r="926" spans="12:12" x14ac:dyDescent="0.25">
      <c r="L926" s="14"/>
    </row>
    <row r="927" spans="12:12" x14ac:dyDescent="0.25">
      <c r="L927" s="14"/>
    </row>
    <row r="928" spans="12:12" x14ac:dyDescent="0.25">
      <c r="L928" s="14"/>
    </row>
    <row r="929" spans="12:12" x14ac:dyDescent="0.25">
      <c r="L929" s="14"/>
    </row>
    <row r="930" spans="12:12" x14ac:dyDescent="0.25">
      <c r="L930" s="14"/>
    </row>
    <row r="931" spans="12:12" x14ac:dyDescent="0.25">
      <c r="L931" s="14"/>
    </row>
    <row r="932" spans="12:12" x14ac:dyDescent="0.25">
      <c r="L932" s="14"/>
    </row>
    <row r="933" spans="12:12" x14ac:dyDescent="0.25">
      <c r="L933" s="14"/>
    </row>
    <row r="934" spans="12:12" x14ac:dyDescent="0.25">
      <c r="L934" s="14"/>
    </row>
    <row r="935" spans="12:12" x14ac:dyDescent="0.25">
      <c r="L935" s="14"/>
    </row>
    <row r="936" spans="12:12" x14ac:dyDescent="0.25">
      <c r="L936" s="14"/>
    </row>
    <row r="937" spans="12:12" x14ac:dyDescent="0.25">
      <c r="L937" s="14"/>
    </row>
    <row r="938" spans="12:12" x14ac:dyDescent="0.25">
      <c r="L938" s="14"/>
    </row>
    <row r="939" spans="12:12" x14ac:dyDescent="0.25">
      <c r="L939" s="14"/>
    </row>
    <row r="940" spans="12:12" x14ac:dyDescent="0.25">
      <c r="L940" s="14"/>
    </row>
    <row r="941" spans="12:12" x14ac:dyDescent="0.25">
      <c r="L941" s="14"/>
    </row>
    <row r="942" spans="12:12" x14ac:dyDescent="0.25">
      <c r="L942" s="14"/>
    </row>
    <row r="943" spans="12:12" x14ac:dyDescent="0.25">
      <c r="L943" s="14"/>
    </row>
    <row r="944" spans="12:12" x14ac:dyDescent="0.25">
      <c r="L944" s="14"/>
    </row>
    <row r="945" spans="12:12" x14ac:dyDescent="0.25">
      <c r="L945" s="14"/>
    </row>
    <row r="946" spans="12:12" x14ac:dyDescent="0.25">
      <c r="L946" s="14"/>
    </row>
    <row r="947" spans="12:12" x14ac:dyDescent="0.25">
      <c r="L947" s="14"/>
    </row>
    <row r="948" spans="12:12" x14ac:dyDescent="0.25">
      <c r="L948" s="14"/>
    </row>
    <row r="949" spans="12:12" x14ac:dyDescent="0.25">
      <c r="L949" s="14"/>
    </row>
    <row r="950" spans="12:12" x14ac:dyDescent="0.25">
      <c r="L950" s="14"/>
    </row>
    <row r="951" spans="12:12" x14ac:dyDescent="0.25">
      <c r="L951" s="14"/>
    </row>
    <row r="952" spans="12:12" x14ac:dyDescent="0.25">
      <c r="L952" s="14"/>
    </row>
    <row r="953" spans="12:12" x14ac:dyDescent="0.25">
      <c r="L953" s="14"/>
    </row>
    <row r="954" spans="12:12" x14ac:dyDescent="0.25">
      <c r="L954" s="14"/>
    </row>
    <row r="955" spans="12:12" x14ac:dyDescent="0.25">
      <c r="L955" s="14"/>
    </row>
    <row r="956" spans="12:12" x14ac:dyDescent="0.25">
      <c r="L956" s="14"/>
    </row>
    <row r="957" spans="12:12" x14ac:dyDescent="0.25">
      <c r="L957" s="14"/>
    </row>
    <row r="958" spans="12:12" x14ac:dyDescent="0.25">
      <c r="L958" s="14"/>
    </row>
    <row r="959" spans="12:12" x14ac:dyDescent="0.25">
      <c r="L959" s="14"/>
    </row>
    <row r="960" spans="12:12" x14ac:dyDescent="0.25">
      <c r="L960" s="14"/>
    </row>
    <row r="961" spans="12:12" x14ac:dyDescent="0.25">
      <c r="L961" s="14"/>
    </row>
    <row r="962" spans="12:12" x14ac:dyDescent="0.25">
      <c r="L962" s="14"/>
    </row>
    <row r="963" spans="12:12" x14ac:dyDescent="0.25">
      <c r="L963" s="14"/>
    </row>
    <row r="964" spans="12:12" x14ac:dyDescent="0.25">
      <c r="L964" s="14"/>
    </row>
    <row r="965" spans="12:12" x14ac:dyDescent="0.25">
      <c r="L965" s="14"/>
    </row>
    <row r="966" spans="12:12" x14ac:dyDescent="0.25">
      <c r="L966" s="14"/>
    </row>
    <row r="967" spans="12:12" x14ac:dyDescent="0.25">
      <c r="L967" s="14"/>
    </row>
    <row r="968" spans="12:12" x14ac:dyDescent="0.25">
      <c r="L968" s="14"/>
    </row>
    <row r="969" spans="12:12" x14ac:dyDescent="0.25">
      <c r="L969" s="14"/>
    </row>
    <row r="970" spans="12:12" x14ac:dyDescent="0.25">
      <c r="L970" s="14"/>
    </row>
    <row r="971" spans="12:12" x14ac:dyDescent="0.25">
      <c r="L971" s="14"/>
    </row>
    <row r="972" spans="12:12" x14ac:dyDescent="0.25">
      <c r="L972" s="14"/>
    </row>
    <row r="973" spans="12:12" x14ac:dyDescent="0.25">
      <c r="L973" s="14"/>
    </row>
    <row r="974" spans="12:12" x14ac:dyDescent="0.25">
      <c r="L974" s="14"/>
    </row>
    <row r="975" spans="12:12" x14ac:dyDescent="0.25">
      <c r="L975" s="14"/>
    </row>
    <row r="976" spans="12:12" x14ac:dyDescent="0.25">
      <c r="L976" s="14"/>
    </row>
    <row r="977" spans="12:12" x14ac:dyDescent="0.25">
      <c r="L977" s="14"/>
    </row>
    <row r="978" spans="12:12" x14ac:dyDescent="0.25">
      <c r="L978" s="14"/>
    </row>
    <row r="979" spans="12:12" x14ac:dyDescent="0.25">
      <c r="L979" s="14"/>
    </row>
    <row r="980" spans="12:12" x14ac:dyDescent="0.25">
      <c r="L980" s="14"/>
    </row>
    <row r="981" spans="12:12" x14ac:dyDescent="0.25">
      <c r="L981" s="14"/>
    </row>
    <row r="982" spans="12:12" x14ac:dyDescent="0.25">
      <c r="L982" s="14"/>
    </row>
    <row r="983" spans="12:12" x14ac:dyDescent="0.25">
      <c r="L983" s="14"/>
    </row>
    <row r="984" spans="12:12" x14ac:dyDescent="0.25">
      <c r="L984" s="14"/>
    </row>
    <row r="985" spans="12:12" x14ac:dyDescent="0.25">
      <c r="L985" s="14"/>
    </row>
    <row r="986" spans="12:12" x14ac:dyDescent="0.25">
      <c r="L986" s="14"/>
    </row>
    <row r="987" spans="12:12" x14ac:dyDescent="0.25">
      <c r="L987" s="14"/>
    </row>
    <row r="988" spans="12:12" x14ac:dyDescent="0.25">
      <c r="L988" s="14"/>
    </row>
    <row r="989" spans="12:12" x14ac:dyDescent="0.25">
      <c r="L989" s="14"/>
    </row>
    <row r="990" spans="12:12" x14ac:dyDescent="0.25">
      <c r="L990" s="14"/>
    </row>
    <row r="991" spans="12:12" x14ac:dyDescent="0.25">
      <c r="L991" s="14"/>
    </row>
    <row r="992" spans="12:12" x14ac:dyDescent="0.25">
      <c r="L992" s="14"/>
    </row>
    <row r="993" spans="12:12" x14ac:dyDescent="0.25">
      <c r="L993" s="14"/>
    </row>
    <row r="994" spans="12:12" x14ac:dyDescent="0.25">
      <c r="L994" s="14"/>
    </row>
    <row r="995" spans="12:12" x14ac:dyDescent="0.25">
      <c r="L995" s="14"/>
    </row>
    <row r="996" spans="12:12" x14ac:dyDescent="0.25">
      <c r="L996" s="14"/>
    </row>
    <row r="997" spans="12:12" x14ac:dyDescent="0.25">
      <c r="L997" s="14"/>
    </row>
    <row r="998" spans="12:12" x14ac:dyDescent="0.25">
      <c r="L998" s="14"/>
    </row>
    <row r="999" spans="12:12" x14ac:dyDescent="0.25">
      <c r="L999" s="14"/>
    </row>
    <row r="1000" spans="12:12" x14ac:dyDescent="0.25">
      <c r="L1000" s="14"/>
    </row>
    <row r="1001" spans="12:12" x14ac:dyDescent="0.25">
      <c r="L1001" s="14"/>
    </row>
    <row r="1002" spans="12:12" x14ac:dyDescent="0.25">
      <c r="L1002" s="14"/>
    </row>
    <row r="1003" spans="12:12" x14ac:dyDescent="0.25">
      <c r="L1003" s="14"/>
    </row>
    <row r="1004" spans="12:12" x14ac:dyDescent="0.25">
      <c r="L1004" s="14"/>
    </row>
    <row r="1005" spans="12:12" x14ac:dyDescent="0.25">
      <c r="L1005" s="14"/>
    </row>
    <row r="1006" spans="12:12" x14ac:dyDescent="0.25">
      <c r="L1006" s="14"/>
    </row>
    <row r="1007" spans="12:12" x14ac:dyDescent="0.25">
      <c r="L1007" s="14"/>
    </row>
    <row r="1008" spans="12:12" x14ac:dyDescent="0.25">
      <c r="L1008" s="14"/>
    </row>
    <row r="1009" spans="12:12" x14ac:dyDescent="0.25">
      <c r="L1009" s="14"/>
    </row>
    <row r="1010" spans="12:12" x14ac:dyDescent="0.25">
      <c r="L1010" s="14"/>
    </row>
    <row r="1011" spans="12:12" x14ac:dyDescent="0.25">
      <c r="L1011" s="14"/>
    </row>
    <row r="1012" spans="12:12" x14ac:dyDescent="0.25">
      <c r="L1012" s="14"/>
    </row>
    <row r="1013" spans="12:12" x14ac:dyDescent="0.25">
      <c r="L1013" s="14"/>
    </row>
    <row r="1014" spans="12:12" x14ac:dyDescent="0.25">
      <c r="L1014" s="14"/>
    </row>
    <row r="1015" spans="12:12" x14ac:dyDescent="0.25">
      <c r="L1015" s="14"/>
    </row>
    <row r="1016" spans="12:12" x14ac:dyDescent="0.25">
      <c r="L1016" s="14"/>
    </row>
    <row r="1017" spans="12:12" x14ac:dyDescent="0.25">
      <c r="L1017" s="14"/>
    </row>
    <row r="1018" spans="12:12" x14ac:dyDescent="0.25">
      <c r="L1018" s="14"/>
    </row>
    <row r="1019" spans="12:12" x14ac:dyDescent="0.25">
      <c r="L1019" s="14"/>
    </row>
    <row r="1020" spans="12:12" x14ac:dyDescent="0.25">
      <c r="L1020" s="14"/>
    </row>
    <row r="1021" spans="12:12" x14ac:dyDescent="0.25">
      <c r="L1021" s="14"/>
    </row>
    <row r="1022" spans="12:12" x14ac:dyDescent="0.25">
      <c r="L1022" s="14"/>
    </row>
    <row r="1023" spans="12:12" x14ac:dyDescent="0.25">
      <c r="L1023" s="14"/>
    </row>
    <row r="1024" spans="12:12" x14ac:dyDescent="0.25">
      <c r="L1024" s="14"/>
    </row>
    <row r="1025" spans="12:12" x14ac:dyDescent="0.25">
      <c r="L1025" s="14"/>
    </row>
    <row r="1026" spans="12:12" x14ac:dyDescent="0.25">
      <c r="L1026" s="14"/>
    </row>
    <row r="1027" spans="12:12" x14ac:dyDescent="0.25">
      <c r="L1027" s="14"/>
    </row>
    <row r="1028" spans="12:12" x14ac:dyDescent="0.25">
      <c r="L1028" s="14"/>
    </row>
    <row r="1029" spans="12:12" x14ac:dyDescent="0.25">
      <c r="L1029" s="14"/>
    </row>
    <row r="1030" spans="12:12" x14ac:dyDescent="0.25">
      <c r="L1030" s="14"/>
    </row>
    <row r="1031" spans="12:12" x14ac:dyDescent="0.25">
      <c r="L1031" s="14"/>
    </row>
    <row r="1032" spans="12:12" x14ac:dyDescent="0.25">
      <c r="L1032" s="14"/>
    </row>
    <row r="1033" spans="12:12" x14ac:dyDescent="0.25">
      <c r="L1033" s="14"/>
    </row>
    <row r="1034" spans="12:12" x14ac:dyDescent="0.25">
      <c r="L1034" s="14"/>
    </row>
    <row r="1035" spans="12:12" x14ac:dyDescent="0.25">
      <c r="L1035" s="14"/>
    </row>
    <row r="1036" spans="12:12" x14ac:dyDescent="0.25">
      <c r="L1036" s="14"/>
    </row>
    <row r="1037" spans="12:12" x14ac:dyDescent="0.25">
      <c r="L1037" s="14"/>
    </row>
    <row r="1038" spans="12:12" x14ac:dyDescent="0.25">
      <c r="L1038" s="14"/>
    </row>
    <row r="1039" spans="12:12" x14ac:dyDescent="0.25">
      <c r="L1039" s="14"/>
    </row>
    <row r="1040" spans="12:12" x14ac:dyDescent="0.25">
      <c r="L1040" s="14"/>
    </row>
    <row r="1041" spans="12:12" x14ac:dyDescent="0.25">
      <c r="L1041" s="14"/>
    </row>
    <row r="1042" spans="12:12" x14ac:dyDescent="0.25">
      <c r="L1042" s="14"/>
    </row>
    <row r="1043" spans="12:12" x14ac:dyDescent="0.25">
      <c r="L1043" s="14"/>
    </row>
    <row r="1044" spans="12:12" x14ac:dyDescent="0.25">
      <c r="L1044" s="14"/>
    </row>
    <row r="1045" spans="12:12" x14ac:dyDescent="0.25">
      <c r="L1045" s="14"/>
    </row>
    <row r="1046" spans="12:12" x14ac:dyDescent="0.25">
      <c r="L1046" s="14"/>
    </row>
    <row r="1047" spans="12:12" x14ac:dyDescent="0.25">
      <c r="L1047" s="14"/>
    </row>
    <row r="1048" spans="12:12" x14ac:dyDescent="0.25">
      <c r="L1048" s="14"/>
    </row>
    <row r="1049" spans="12:12" x14ac:dyDescent="0.25">
      <c r="L1049" s="14"/>
    </row>
    <row r="1050" spans="12:12" x14ac:dyDescent="0.25">
      <c r="L1050" s="14"/>
    </row>
    <row r="1051" spans="12:12" x14ac:dyDescent="0.25">
      <c r="L1051" s="14"/>
    </row>
    <row r="1052" spans="12:12" x14ac:dyDescent="0.25">
      <c r="L1052" s="14"/>
    </row>
    <row r="1053" spans="12:12" x14ac:dyDescent="0.25">
      <c r="L1053" s="14"/>
    </row>
    <row r="1054" spans="12:12" x14ac:dyDescent="0.25">
      <c r="L1054" s="14"/>
    </row>
    <row r="1055" spans="12:12" x14ac:dyDescent="0.25">
      <c r="L1055" s="14"/>
    </row>
    <row r="1056" spans="12:12" x14ac:dyDescent="0.25">
      <c r="L1056" s="14"/>
    </row>
    <row r="1057" spans="12:12" x14ac:dyDescent="0.25">
      <c r="L1057" s="14"/>
    </row>
    <row r="1058" spans="12:12" x14ac:dyDescent="0.25">
      <c r="L1058" s="14"/>
    </row>
    <row r="1059" spans="12:12" x14ac:dyDescent="0.25">
      <c r="L1059" s="14"/>
    </row>
    <row r="1060" spans="12:12" x14ac:dyDescent="0.25">
      <c r="L1060" s="14"/>
    </row>
    <row r="1061" spans="12:12" x14ac:dyDescent="0.25">
      <c r="L1061" s="14"/>
    </row>
    <row r="1062" spans="12:12" x14ac:dyDescent="0.25">
      <c r="L1062" s="14"/>
    </row>
    <row r="1063" spans="12:12" x14ac:dyDescent="0.25">
      <c r="L1063" s="14"/>
    </row>
    <row r="1064" spans="12:12" x14ac:dyDescent="0.25">
      <c r="L1064" s="14"/>
    </row>
    <row r="1065" spans="12:12" x14ac:dyDescent="0.25">
      <c r="L1065" s="14"/>
    </row>
    <row r="1066" spans="12:12" x14ac:dyDescent="0.25">
      <c r="L1066" s="14"/>
    </row>
    <row r="1067" spans="12:12" x14ac:dyDescent="0.25">
      <c r="L1067" s="14"/>
    </row>
    <row r="1068" spans="12:12" x14ac:dyDescent="0.25">
      <c r="L1068" s="14"/>
    </row>
    <row r="1069" spans="12:12" x14ac:dyDescent="0.25">
      <c r="L1069" s="14"/>
    </row>
    <row r="1070" spans="12:12" x14ac:dyDescent="0.25">
      <c r="L1070" s="14"/>
    </row>
    <row r="1071" spans="12:12" x14ac:dyDescent="0.25">
      <c r="L1071" s="14"/>
    </row>
    <row r="1072" spans="12:12" x14ac:dyDescent="0.25">
      <c r="L1072" s="14"/>
    </row>
    <row r="1073" spans="12:12" x14ac:dyDescent="0.25">
      <c r="L1073" s="14"/>
    </row>
    <row r="1074" spans="12:12" x14ac:dyDescent="0.25">
      <c r="L1074" s="14"/>
    </row>
    <row r="1075" spans="12:12" x14ac:dyDescent="0.25">
      <c r="L1075" s="14"/>
    </row>
    <row r="1076" spans="12:12" x14ac:dyDescent="0.25">
      <c r="L1076" s="14"/>
    </row>
    <row r="1077" spans="12:12" x14ac:dyDescent="0.25">
      <c r="L1077" s="14"/>
    </row>
    <row r="1078" spans="12:12" x14ac:dyDescent="0.25">
      <c r="L1078" s="14"/>
    </row>
    <row r="1079" spans="12:12" x14ac:dyDescent="0.25">
      <c r="L1079" s="14"/>
    </row>
    <row r="1080" spans="12:12" x14ac:dyDescent="0.25">
      <c r="L1080" s="14"/>
    </row>
    <row r="1081" spans="12:12" x14ac:dyDescent="0.25">
      <c r="L1081" s="14"/>
    </row>
    <row r="1082" spans="12:12" x14ac:dyDescent="0.25">
      <c r="L1082" s="14"/>
    </row>
    <row r="1083" spans="12:12" x14ac:dyDescent="0.25">
      <c r="L1083" s="14"/>
    </row>
    <row r="1084" spans="12:12" x14ac:dyDescent="0.25">
      <c r="L1084" s="14"/>
    </row>
    <row r="1085" spans="12:12" x14ac:dyDescent="0.25">
      <c r="L1085" s="14"/>
    </row>
    <row r="1086" spans="12:12" x14ac:dyDescent="0.25">
      <c r="L1086" s="14"/>
    </row>
    <row r="1087" spans="12:12" x14ac:dyDescent="0.25">
      <c r="L1087" s="14"/>
    </row>
    <row r="1088" spans="12:12" x14ac:dyDescent="0.25">
      <c r="L1088" s="14"/>
    </row>
    <row r="1089" spans="12:12" x14ac:dyDescent="0.25">
      <c r="L1089" s="14"/>
    </row>
    <row r="1090" spans="12:12" x14ac:dyDescent="0.25">
      <c r="L1090" s="14"/>
    </row>
    <row r="1091" spans="12:12" x14ac:dyDescent="0.25">
      <c r="L1091" s="14"/>
    </row>
    <row r="1092" spans="12:12" x14ac:dyDescent="0.25">
      <c r="L1092" s="14"/>
    </row>
    <row r="1093" spans="12:12" x14ac:dyDescent="0.25">
      <c r="L1093" s="14"/>
    </row>
    <row r="1094" spans="12:12" x14ac:dyDescent="0.25">
      <c r="L1094" s="14"/>
    </row>
    <row r="1095" spans="12:12" x14ac:dyDescent="0.25">
      <c r="L1095" s="14"/>
    </row>
    <row r="1096" spans="12:12" x14ac:dyDescent="0.25">
      <c r="L1096" s="14"/>
    </row>
    <row r="1097" spans="12:12" x14ac:dyDescent="0.25">
      <c r="L1097" s="14"/>
    </row>
    <row r="1098" spans="12:12" x14ac:dyDescent="0.25">
      <c r="L1098" s="14"/>
    </row>
    <row r="1099" spans="12:12" x14ac:dyDescent="0.25">
      <c r="L1099" s="14"/>
    </row>
    <row r="1100" spans="12:12" x14ac:dyDescent="0.25">
      <c r="L1100" s="14"/>
    </row>
    <row r="1101" spans="12:12" x14ac:dyDescent="0.25">
      <c r="L1101" s="14"/>
    </row>
    <row r="1102" spans="12:12" x14ac:dyDescent="0.25">
      <c r="L1102" s="14"/>
    </row>
    <row r="1103" spans="12:12" x14ac:dyDescent="0.25">
      <c r="L1103" s="14"/>
    </row>
    <row r="1104" spans="12:12" x14ac:dyDescent="0.25">
      <c r="L1104" s="14"/>
    </row>
    <row r="1105" spans="12:12" x14ac:dyDescent="0.25">
      <c r="L1105" s="14"/>
    </row>
    <row r="1106" spans="12:12" x14ac:dyDescent="0.25">
      <c r="L1106" s="14"/>
    </row>
    <row r="1107" spans="12:12" x14ac:dyDescent="0.25">
      <c r="L1107" s="14"/>
    </row>
    <row r="1108" spans="12:12" x14ac:dyDescent="0.25">
      <c r="L1108" s="14"/>
    </row>
    <row r="1109" spans="12:12" x14ac:dyDescent="0.25">
      <c r="L1109" s="14"/>
    </row>
    <row r="1110" spans="12:12" x14ac:dyDescent="0.25">
      <c r="L1110" s="14"/>
    </row>
    <row r="1111" spans="12:12" x14ac:dyDescent="0.25">
      <c r="L1111" s="14"/>
    </row>
    <row r="1112" spans="12:12" x14ac:dyDescent="0.25">
      <c r="L1112" s="14"/>
    </row>
    <row r="1113" spans="12:12" x14ac:dyDescent="0.25">
      <c r="L1113" s="14"/>
    </row>
    <row r="1114" spans="12:12" x14ac:dyDescent="0.25">
      <c r="L1114" s="14"/>
    </row>
    <row r="1115" spans="12:12" x14ac:dyDescent="0.25">
      <c r="L1115" s="14"/>
    </row>
    <row r="1116" spans="12:12" x14ac:dyDescent="0.25">
      <c r="L1116" s="14"/>
    </row>
    <row r="1117" spans="12:12" x14ac:dyDescent="0.25">
      <c r="L1117" s="14"/>
    </row>
    <row r="1118" spans="12:12" x14ac:dyDescent="0.25">
      <c r="L1118" s="14"/>
    </row>
    <row r="1119" spans="12:12" x14ac:dyDescent="0.25">
      <c r="L1119" s="14"/>
    </row>
    <row r="1120" spans="12:12" x14ac:dyDescent="0.25">
      <c r="L1120" s="14"/>
    </row>
    <row r="1121" spans="12:12" x14ac:dyDescent="0.25">
      <c r="L1121" s="14"/>
    </row>
    <row r="1122" spans="12:12" x14ac:dyDescent="0.25">
      <c r="L1122" s="14"/>
    </row>
    <row r="1123" spans="12:12" x14ac:dyDescent="0.25">
      <c r="L1123" s="14"/>
    </row>
    <row r="1124" spans="12:12" x14ac:dyDescent="0.25">
      <c r="L1124" s="14"/>
    </row>
    <row r="1125" spans="12:12" x14ac:dyDescent="0.25">
      <c r="L1125" s="14"/>
    </row>
    <row r="1126" spans="12:12" x14ac:dyDescent="0.25">
      <c r="L1126" s="14"/>
    </row>
    <row r="1127" spans="12:12" x14ac:dyDescent="0.25">
      <c r="L1127" s="14"/>
    </row>
    <row r="1128" spans="12:12" x14ac:dyDescent="0.25">
      <c r="L1128" s="14"/>
    </row>
    <row r="1129" spans="12:12" x14ac:dyDescent="0.25">
      <c r="L1129" s="14"/>
    </row>
    <row r="1130" spans="12:12" x14ac:dyDescent="0.25">
      <c r="L1130" s="14"/>
    </row>
    <row r="1131" spans="12:12" x14ac:dyDescent="0.25">
      <c r="L1131" s="14"/>
    </row>
    <row r="1132" spans="12:12" x14ac:dyDescent="0.25">
      <c r="L1132" s="14"/>
    </row>
    <row r="1133" spans="12:12" x14ac:dyDescent="0.25">
      <c r="L1133" s="14"/>
    </row>
    <row r="1134" spans="12:12" x14ac:dyDescent="0.25">
      <c r="L1134" s="14"/>
    </row>
    <row r="1135" spans="12:12" x14ac:dyDescent="0.25">
      <c r="L1135" s="14"/>
    </row>
    <row r="1136" spans="12:12" x14ac:dyDescent="0.25">
      <c r="L1136" s="14"/>
    </row>
    <row r="1137" spans="12:12" x14ac:dyDescent="0.25">
      <c r="L1137" s="14"/>
    </row>
    <row r="1138" spans="12:12" x14ac:dyDescent="0.25">
      <c r="L1138" s="14"/>
    </row>
    <row r="1139" spans="12:12" x14ac:dyDescent="0.25">
      <c r="L1139" s="14"/>
    </row>
    <row r="1140" spans="12:12" x14ac:dyDescent="0.25">
      <c r="L1140" s="14"/>
    </row>
    <row r="1141" spans="12:12" x14ac:dyDescent="0.25">
      <c r="L1141" s="14"/>
    </row>
    <row r="1142" spans="12:12" x14ac:dyDescent="0.25">
      <c r="L1142" s="14"/>
    </row>
    <row r="1143" spans="12:12" x14ac:dyDescent="0.25">
      <c r="L1143" s="14"/>
    </row>
    <row r="1144" spans="12:12" x14ac:dyDescent="0.25">
      <c r="L1144" s="14"/>
    </row>
    <row r="1145" spans="12:12" x14ac:dyDescent="0.25">
      <c r="L1145" s="14"/>
    </row>
    <row r="1146" spans="12:12" x14ac:dyDescent="0.25">
      <c r="L1146" s="14"/>
    </row>
    <row r="1147" spans="12:12" x14ac:dyDescent="0.25">
      <c r="L1147" s="14"/>
    </row>
    <row r="1148" spans="12:12" x14ac:dyDescent="0.25">
      <c r="L1148" s="14"/>
    </row>
    <row r="1149" spans="12:12" x14ac:dyDescent="0.25">
      <c r="L1149" s="14"/>
    </row>
    <row r="1150" spans="12:12" x14ac:dyDescent="0.25">
      <c r="L1150" s="14"/>
    </row>
    <row r="1151" spans="12:12" x14ac:dyDescent="0.25">
      <c r="L1151" s="14"/>
    </row>
    <row r="1152" spans="12:12" x14ac:dyDescent="0.25">
      <c r="L1152" s="14"/>
    </row>
    <row r="1153" spans="12:12" x14ac:dyDescent="0.25">
      <c r="L1153" s="14"/>
    </row>
    <row r="1154" spans="12:12" x14ac:dyDescent="0.25">
      <c r="L1154" s="14"/>
    </row>
    <row r="1155" spans="12:12" x14ac:dyDescent="0.25">
      <c r="L1155" s="14"/>
    </row>
    <row r="1156" spans="12:12" x14ac:dyDescent="0.25">
      <c r="L1156" s="14"/>
    </row>
    <row r="1157" spans="12:12" x14ac:dyDescent="0.25">
      <c r="L1157" s="14"/>
    </row>
    <row r="1158" spans="12:12" x14ac:dyDescent="0.25">
      <c r="L1158" s="14"/>
    </row>
    <row r="1159" spans="12:12" x14ac:dyDescent="0.25">
      <c r="L1159" s="14"/>
    </row>
    <row r="1160" spans="12:12" x14ac:dyDescent="0.25">
      <c r="L1160" s="14"/>
    </row>
    <row r="1161" spans="12:12" x14ac:dyDescent="0.25">
      <c r="L1161" s="14"/>
    </row>
    <row r="1162" spans="12:12" x14ac:dyDescent="0.25">
      <c r="L1162" s="14"/>
    </row>
    <row r="1163" spans="12:12" x14ac:dyDescent="0.25">
      <c r="L1163" s="14"/>
    </row>
    <row r="1164" spans="12:12" x14ac:dyDescent="0.25">
      <c r="L1164" s="14"/>
    </row>
    <row r="1165" spans="12:12" x14ac:dyDescent="0.25">
      <c r="L1165" s="14"/>
    </row>
    <row r="1166" spans="12:12" x14ac:dyDescent="0.25">
      <c r="L1166" s="14"/>
    </row>
    <row r="1167" spans="12:12" x14ac:dyDescent="0.25">
      <c r="L1167" s="14"/>
    </row>
    <row r="1168" spans="12:12" x14ac:dyDescent="0.25">
      <c r="L1168" s="14"/>
    </row>
    <row r="1169" spans="12:12" x14ac:dyDescent="0.25">
      <c r="L1169" s="14"/>
    </row>
    <row r="1170" spans="12:12" x14ac:dyDescent="0.25">
      <c r="L1170" s="14"/>
    </row>
    <row r="1171" spans="12:12" x14ac:dyDescent="0.25">
      <c r="L1171" s="14"/>
    </row>
    <row r="1172" spans="12:12" x14ac:dyDescent="0.25">
      <c r="L1172" s="14"/>
    </row>
    <row r="1173" spans="12:12" x14ac:dyDescent="0.25">
      <c r="L1173" s="14"/>
    </row>
    <row r="1174" spans="12:12" x14ac:dyDescent="0.25">
      <c r="L1174" s="14"/>
    </row>
    <row r="1175" spans="12:12" x14ac:dyDescent="0.25">
      <c r="L1175" s="14"/>
    </row>
    <row r="1176" spans="12:12" x14ac:dyDescent="0.25">
      <c r="L1176" s="14"/>
    </row>
    <row r="1177" spans="12:12" x14ac:dyDescent="0.25">
      <c r="L1177" s="14"/>
    </row>
    <row r="1178" spans="12:12" x14ac:dyDescent="0.25">
      <c r="L1178" s="14"/>
    </row>
    <row r="1179" spans="12:12" x14ac:dyDescent="0.25">
      <c r="L1179" s="14"/>
    </row>
    <row r="1180" spans="12:12" x14ac:dyDescent="0.25">
      <c r="L1180" s="14"/>
    </row>
    <row r="1181" spans="12:12" x14ac:dyDescent="0.25">
      <c r="L1181" s="14"/>
    </row>
    <row r="1182" spans="12:12" x14ac:dyDescent="0.25">
      <c r="L1182" s="14"/>
    </row>
    <row r="1183" spans="12:12" x14ac:dyDescent="0.25">
      <c r="L1183" s="14"/>
    </row>
    <row r="1184" spans="12:12" x14ac:dyDescent="0.25">
      <c r="L1184" s="14"/>
    </row>
    <row r="1185" spans="12:12" x14ac:dyDescent="0.25">
      <c r="L1185" s="14"/>
    </row>
    <row r="1186" spans="12:12" x14ac:dyDescent="0.25">
      <c r="L1186" s="14"/>
    </row>
    <row r="1187" spans="12:12" x14ac:dyDescent="0.25">
      <c r="L1187" s="14"/>
    </row>
    <row r="1188" spans="12:12" x14ac:dyDescent="0.25">
      <c r="L1188" s="14"/>
    </row>
    <row r="1189" spans="12:12" x14ac:dyDescent="0.25">
      <c r="L1189" s="14"/>
    </row>
    <row r="1190" spans="12:12" x14ac:dyDescent="0.25">
      <c r="L1190" s="14"/>
    </row>
    <row r="1191" spans="12:12" x14ac:dyDescent="0.25">
      <c r="L1191" s="14"/>
    </row>
    <row r="1192" spans="12:12" x14ac:dyDescent="0.25">
      <c r="L1192" s="14"/>
    </row>
    <row r="1193" spans="12:12" x14ac:dyDescent="0.25">
      <c r="L1193" s="14"/>
    </row>
    <row r="1194" spans="12:12" x14ac:dyDescent="0.25">
      <c r="L1194" s="14"/>
    </row>
    <row r="1195" spans="12:12" x14ac:dyDescent="0.25">
      <c r="L1195" s="14"/>
    </row>
    <row r="1196" spans="12:12" x14ac:dyDescent="0.25">
      <c r="L1196" s="14"/>
    </row>
    <row r="1197" spans="12:12" x14ac:dyDescent="0.25">
      <c r="L1197" s="14"/>
    </row>
    <row r="1198" spans="12:12" x14ac:dyDescent="0.25">
      <c r="L1198" s="14"/>
    </row>
    <row r="1199" spans="12:12" x14ac:dyDescent="0.25">
      <c r="L1199" s="14"/>
    </row>
    <row r="1200" spans="12:12" x14ac:dyDescent="0.25">
      <c r="L1200" s="14"/>
    </row>
    <row r="1201" spans="12:12" x14ac:dyDescent="0.25">
      <c r="L1201" s="14"/>
    </row>
    <row r="1202" spans="12:12" x14ac:dyDescent="0.25">
      <c r="L1202" s="14"/>
    </row>
    <row r="1203" spans="12:12" x14ac:dyDescent="0.25">
      <c r="L1203" s="14"/>
    </row>
    <row r="1204" spans="12:12" x14ac:dyDescent="0.25">
      <c r="L1204" s="14"/>
    </row>
    <row r="1205" spans="12:12" x14ac:dyDescent="0.25">
      <c r="L1205" s="14"/>
    </row>
    <row r="1206" spans="12:12" x14ac:dyDescent="0.25">
      <c r="L1206" s="14"/>
    </row>
    <row r="1207" spans="12:12" x14ac:dyDescent="0.25">
      <c r="L1207" s="14"/>
    </row>
    <row r="1208" spans="12:12" x14ac:dyDescent="0.25">
      <c r="L1208" s="14"/>
    </row>
    <row r="1209" spans="12:12" x14ac:dyDescent="0.25">
      <c r="L1209" s="14"/>
    </row>
    <row r="1210" spans="12:12" x14ac:dyDescent="0.25">
      <c r="L1210" s="14"/>
    </row>
    <row r="1211" spans="12:12" x14ac:dyDescent="0.25">
      <c r="L1211" s="14"/>
    </row>
    <row r="1212" spans="12:12" x14ac:dyDescent="0.25">
      <c r="L1212" s="14"/>
    </row>
    <row r="1213" spans="12:12" x14ac:dyDescent="0.25">
      <c r="L1213" s="14"/>
    </row>
    <row r="1214" spans="12:12" x14ac:dyDescent="0.25">
      <c r="L1214" s="14"/>
    </row>
    <row r="1215" spans="12:12" x14ac:dyDescent="0.25">
      <c r="L1215" s="14"/>
    </row>
    <row r="1216" spans="12:12" x14ac:dyDescent="0.25">
      <c r="L1216" s="14"/>
    </row>
    <row r="1217" spans="12:12" x14ac:dyDescent="0.25">
      <c r="L1217" s="14"/>
    </row>
    <row r="1218" spans="12:12" x14ac:dyDescent="0.25">
      <c r="L1218" s="14"/>
    </row>
    <row r="1219" spans="12:12" x14ac:dyDescent="0.25">
      <c r="L1219" s="14"/>
    </row>
    <row r="1220" spans="12:12" x14ac:dyDescent="0.25">
      <c r="L1220" s="14"/>
    </row>
    <row r="1221" spans="12:12" x14ac:dyDescent="0.25">
      <c r="L1221" s="14"/>
    </row>
    <row r="1222" spans="12:12" x14ac:dyDescent="0.25">
      <c r="L1222" s="14"/>
    </row>
    <row r="1223" spans="12:12" x14ac:dyDescent="0.25">
      <c r="L1223" s="14"/>
    </row>
    <row r="1224" spans="12:12" x14ac:dyDescent="0.25">
      <c r="L1224" s="14"/>
    </row>
    <row r="1225" spans="12:12" x14ac:dyDescent="0.25">
      <c r="L1225" s="14"/>
    </row>
    <row r="1226" spans="12:12" x14ac:dyDescent="0.25">
      <c r="L1226" s="14"/>
    </row>
    <row r="1227" spans="12:12" x14ac:dyDescent="0.25">
      <c r="L1227" s="14"/>
    </row>
    <row r="1228" spans="12:12" x14ac:dyDescent="0.25">
      <c r="L1228" s="14"/>
    </row>
    <row r="1229" spans="12:12" x14ac:dyDescent="0.25">
      <c r="L1229" s="14"/>
    </row>
    <row r="1230" spans="12:12" x14ac:dyDescent="0.25">
      <c r="L1230" s="14"/>
    </row>
    <row r="1231" spans="12:12" x14ac:dyDescent="0.25">
      <c r="L1231" s="14"/>
    </row>
    <row r="1232" spans="12:12" x14ac:dyDescent="0.25">
      <c r="L1232" s="14"/>
    </row>
    <row r="1233" spans="12:12" x14ac:dyDescent="0.25">
      <c r="L1233" s="14"/>
    </row>
    <row r="1234" spans="12:12" x14ac:dyDescent="0.25">
      <c r="L1234" s="14"/>
    </row>
    <row r="1235" spans="12:12" x14ac:dyDescent="0.25">
      <c r="L1235" s="14"/>
    </row>
    <row r="1236" spans="12:12" x14ac:dyDescent="0.25">
      <c r="L1236" s="14"/>
    </row>
    <row r="1237" spans="12:12" x14ac:dyDescent="0.25">
      <c r="L1237" s="14"/>
    </row>
    <row r="1238" spans="12:12" x14ac:dyDescent="0.25">
      <c r="L1238" s="14"/>
    </row>
    <row r="1239" spans="12:12" x14ac:dyDescent="0.25">
      <c r="L1239" s="14"/>
    </row>
    <row r="1240" spans="12:12" x14ac:dyDescent="0.25">
      <c r="L1240" s="14"/>
    </row>
    <row r="1241" spans="12:12" x14ac:dyDescent="0.25">
      <c r="L1241" s="14"/>
    </row>
    <row r="1242" spans="12:12" x14ac:dyDescent="0.25">
      <c r="L1242" s="14"/>
    </row>
    <row r="1243" spans="12:12" x14ac:dyDescent="0.25">
      <c r="L1243" s="14"/>
    </row>
    <row r="1244" spans="12:12" x14ac:dyDescent="0.25">
      <c r="L1244" s="14"/>
    </row>
    <row r="1245" spans="12:12" x14ac:dyDescent="0.25">
      <c r="L1245" s="14"/>
    </row>
    <row r="1246" spans="12:12" x14ac:dyDescent="0.25">
      <c r="L1246" s="14"/>
    </row>
    <row r="1247" spans="12:12" x14ac:dyDescent="0.25">
      <c r="L1247" s="14"/>
    </row>
    <row r="1248" spans="12:12" x14ac:dyDescent="0.25">
      <c r="L1248" s="14"/>
    </row>
    <row r="1249" spans="12:12" x14ac:dyDescent="0.25">
      <c r="L1249" s="14"/>
    </row>
    <row r="1250" spans="12:12" x14ac:dyDescent="0.25">
      <c r="L1250" s="14"/>
    </row>
    <row r="1251" spans="12:12" x14ac:dyDescent="0.25">
      <c r="L1251" s="14"/>
    </row>
    <row r="1252" spans="12:12" x14ac:dyDescent="0.25">
      <c r="L1252" s="14"/>
    </row>
    <row r="1253" spans="12:12" x14ac:dyDescent="0.25">
      <c r="L1253" s="14"/>
    </row>
    <row r="1254" spans="12:12" x14ac:dyDescent="0.25">
      <c r="L1254" s="14"/>
    </row>
    <row r="1255" spans="12:12" x14ac:dyDescent="0.25">
      <c r="L1255" s="14"/>
    </row>
    <row r="1256" spans="12:12" x14ac:dyDescent="0.25">
      <c r="L1256" s="14"/>
    </row>
    <row r="1257" spans="12:12" x14ac:dyDescent="0.25">
      <c r="L1257" s="14"/>
    </row>
    <row r="1258" spans="12:12" x14ac:dyDescent="0.25">
      <c r="L1258" s="14"/>
    </row>
    <row r="1259" spans="12:12" x14ac:dyDescent="0.25">
      <c r="L1259" s="14"/>
    </row>
    <row r="1260" spans="12:12" x14ac:dyDescent="0.25">
      <c r="L1260" s="14"/>
    </row>
    <row r="1261" spans="12:12" x14ac:dyDescent="0.25">
      <c r="L1261" s="14"/>
    </row>
    <row r="1262" spans="12:12" x14ac:dyDescent="0.25">
      <c r="L1262" s="14"/>
    </row>
    <row r="1263" spans="12:12" x14ac:dyDescent="0.25">
      <c r="L1263" s="14"/>
    </row>
    <row r="1264" spans="12:12" x14ac:dyDescent="0.25">
      <c r="L1264" s="14"/>
    </row>
    <row r="1265" spans="12:12" x14ac:dyDescent="0.25">
      <c r="L1265" s="14"/>
    </row>
    <row r="1266" spans="12:12" x14ac:dyDescent="0.25">
      <c r="L1266" s="14"/>
    </row>
    <row r="1267" spans="12:12" x14ac:dyDescent="0.25">
      <c r="L1267" s="14"/>
    </row>
    <row r="1268" spans="12:12" x14ac:dyDescent="0.25">
      <c r="L1268" s="14"/>
    </row>
    <row r="1269" spans="12:12" x14ac:dyDescent="0.25">
      <c r="L1269" s="14"/>
    </row>
    <row r="1270" spans="12:12" x14ac:dyDescent="0.25">
      <c r="L1270" s="14"/>
    </row>
    <row r="1271" spans="12:12" x14ac:dyDescent="0.25">
      <c r="L1271" s="14"/>
    </row>
    <row r="1272" spans="12:12" x14ac:dyDescent="0.25">
      <c r="L1272" s="14"/>
    </row>
    <row r="1273" spans="12:12" x14ac:dyDescent="0.25">
      <c r="L1273" s="14"/>
    </row>
    <row r="1274" spans="12:12" x14ac:dyDescent="0.25">
      <c r="L1274" s="14"/>
    </row>
    <row r="1275" spans="12:12" x14ac:dyDescent="0.25">
      <c r="L1275" s="14"/>
    </row>
    <row r="1276" spans="12:12" x14ac:dyDescent="0.25">
      <c r="L1276" s="14"/>
    </row>
    <row r="1277" spans="12:12" x14ac:dyDescent="0.25">
      <c r="L1277" s="14"/>
    </row>
    <row r="1278" spans="12:12" x14ac:dyDescent="0.25">
      <c r="L1278" s="14"/>
    </row>
    <row r="1279" spans="12:12" x14ac:dyDescent="0.25">
      <c r="L1279" s="14"/>
    </row>
    <row r="1280" spans="12:12" x14ac:dyDescent="0.25">
      <c r="L1280" s="14"/>
    </row>
    <row r="1281" spans="12:12" x14ac:dyDescent="0.25">
      <c r="L1281" s="14"/>
    </row>
    <row r="1282" spans="12:12" x14ac:dyDescent="0.25">
      <c r="L1282" s="14"/>
    </row>
    <row r="1283" spans="12:12" x14ac:dyDescent="0.25">
      <c r="L1283" s="14"/>
    </row>
    <row r="1284" spans="12:12" x14ac:dyDescent="0.25">
      <c r="L1284" s="14"/>
    </row>
    <row r="1285" spans="12:12" x14ac:dyDescent="0.25">
      <c r="L1285" s="14"/>
    </row>
    <row r="1286" spans="12:12" x14ac:dyDescent="0.25">
      <c r="L1286" s="14"/>
    </row>
    <row r="1287" spans="12:12" x14ac:dyDescent="0.25">
      <c r="L1287" s="14"/>
    </row>
    <row r="1288" spans="12:12" x14ac:dyDescent="0.25">
      <c r="L1288" s="14"/>
    </row>
    <row r="1289" spans="12:12" x14ac:dyDescent="0.25">
      <c r="L1289" s="14"/>
    </row>
    <row r="1290" spans="12:12" x14ac:dyDescent="0.25">
      <c r="L1290" s="14"/>
    </row>
    <row r="1291" spans="12:12" x14ac:dyDescent="0.25">
      <c r="L1291" s="14"/>
    </row>
    <row r="1292" spans="12:12" x14ac:dyDescent="0.25">
      <c r="L1292" s="14"/>
    </row>
    <row r="1293" spans="12:12" x14ac:dyDescent="0.25">
      <c r="L1293" s="14"/>
    </row>
    <row r="1294" spans="12:12" x14ac:dyDescent="0.25">
      <c r="L1294" s="14"/>
    </row>
    <row r="1295" spans="12:12" x14ac:dyDescent="0.25">
      <c r="L1295" s="14"/>
    </row>
    <row r="1296" spans="12:12" x14ac:dyDescent="0.25">
      <c r="L1296" s="14"/>
    </row>
    <row r="1297" spans="12:12" x14ac:dyDescent="0.25">
      <c r="L1297" s="14"/>
    </row>
    <row r="1298" spans="12:12" x14ac:dyDescent="0.25">
      <c r="L1298" s="14"/>
    </row>
    <row r="1299" spans="12:12" x14ac:dyDescent="0.25">
      <c r="L1299" s="14"/>
    </row>
    <row r="1300" spans="12:12" x14ac:dyDescent="0.25">
      <c r="L1300" s="14"/>
    </row>
    <row r="1301" spans="12:12" x14ac:dyDescent="0.25">
      <c r="L1301" s="14"/>
    </row>
    <row r="1302" spans="12:12" x14ac:dyDescent="0.25">
      <c r="L1302" s="14"/>
    </row>
    <row r="1303" spans="12:12" x14ac:dyDescent="0.25">
      <c r="L1303" s="14"/>
    </row>
    <row r="1304" spans="12:12" x14ac:dyDescent="0.25">
      <c r="L1304" s="14"/>
    </row>
    <row r="1305" spans="12:12" x14ac:dyDescent="0.25">
      <c r="L1305" s="14"/>
    </row>
    <row r="1306" spans="12:12" x14ac:dyDescent="0.25">
      <c r="L1306" s="14"/>
    </row>
    <row r="1307" spans="12:12" x14ac:dyDescent="0.25">
      <c r="L1307" s="14"/>
    </row>
    <row r="1308" spans="12:12" x14ac:dyDescent="0.25">
      <c r="L1308" s="14"/>
    </row>
    <row r="1309" spans="12:12" x14ac:dyDescent="0.25">
      <c r="L1309" s="14"/>
    </row>
    <row r="1310" spans="12:12" x14ac:dyDescent="0.25">
      <c r="L1310" s="14"/>
    </row>
    <row r="1311" spans="12:12" x14ac:dyDescent="0.25">
      <c r="L1311" s="14"/>
    </row>
    <row r="1312" spans="12:12" x14ac:dyDescent="0.25">
      <c r="L1312" s="14"/>
    </row>
    <row r="1313" spans="12:12" x14ac:dyDescent="0.25">
      <c r="L1313" s="14"/>
    </row>
    <row r="1314" spans="12:12" x14ac:dyDescent="0.25">
      <c r="L1314" s="14"/>
    </row>
    <row r="1315" spans="12:12" x14ac:dyDescent="0.25">
      <c r="L1315" s="14"/>
    </row>
    <row r="1316" spans="12:12" x14ac:dyDescent="0.25">
      <c r="L1316" s="14"/>
    </row>
    <row r="1317" spans="12:12" x14ac:dyDescent="0.25">
      <c r="L1317" s="14"/>
    </row>
    <row r="1318" spans="12:12" x14ac:dyDescent="0.25">
      <c r="L1318" s="14"/>
    </row>
    <row r="1319" spans="12:12" x14ac:dyDescent="0.25">
      <c r="L1319" s="14"/>
    </row>
    <row r="1320" spans="12:12" x14ac:dyDescent="0.25">
      <c r="L1320" s="14"/>
    </row>
    <row r="1321" spans="12:12" x14ac:dyDescent="0.25">
      <c r="L1321" s="14"/>
    </row>
    <row r="1322" spans="12:12" x14ac:dyDescent="0.25">
      <c r="L1322" s="14"/>
    </row>
    <row r="1323" spans="12:12" x14ac:dyDescent="0.25">
      <c r="L1323" s="14"/>
    </row>
    <row r="1324" spans="12:12" x14ac:dyDescent="0.25">
      <c r="L1324" s="14"/>
    </row>
    <row r="1325" spans="12:12" x14ac:dyDescent="0.25">
      <c r="L1325" s="14"/>
    </row>
    <row r="1326" spans="12:12" x14ac:dyDescent="0.25">
      <c r="L1326" s="14"/>
    </row>
    <row r="1327" spans="12:12" x14ac:dyDescent="0.25">
      <c r="L1327" s="14"/>
    </row>
    <row r="1328" spans="12:12" x14ac:dyDescent="0.25">
      <c r="L1328" s="14"/>
    </row>
    <row r="1329" spans="12:12" x14ac:dyDescent="0.25">
      <c r="L1329" s="14"/>
    </row>
    <row r="1330" spans="12:12" x14ac:dyDescent="0.25">
      <c r="L1330" s="14"/>
    </row>
    <row r="1331" spans="12:12" x14ac:dyDescent="0.25">
      <c r="L1331" s="14"/>
    </row>
    <row r="1332" spans="12:12" x14ac:dyDescent="0.25">
      <c r="L1332" s="14"/>
    </row>
    <row r="1333" spans="12:12" x14ac:dyDescent="0.25">
      <c r="L1333" s="14"/>
    </row>
    <row r="1334" spans="12:12" x14ac:dyDescent="0.25">
      <c r="L1334" s="14"/>
    </row>
    <row r="1335" spans="12:12" x14ac:dyDescent="0.25">
      <c r="L1335" s="14"/>
    </row>
    <row r="1336" spans="12:12" x14ac:dyDescent="0.25">
      <c r="L1336" s="14"/>
    </row>
    <row r="1337" spans="12:12" x14ac:dyDescent="0.25">
      <c r="L1337" s="14"/>
    </row>
    <row r="1338" spans="12:12" x14ac:dyDescent="0.25">
      <c r="L1338" s="14"/>
    </row>
    <row r="1339" spans="12:12" x14ac:dyDescent="0.25">
      <c r="L1339" s="14"/>
    </row>
    <row r="1340" spans="12:12" x14ac:dyDescent="0.25">
      <c r="L1340" s="14"/>
    </row>
    <row r="1341" spans="12:12" x14ac:dyDescent="0.25">
      <c r="L1341" s="14"/>
    </row>
    <row r="1342" spans="12:12" x14ac:dyDescent="0.25">
      <c r="L1342" s="14"/>
    </row>
    <row r="1343" spans="12:12" x14ac:dyDescent="0.25">
      <c r="L1343" s="14"/>
    </row>
    <row r="1344" spans="12:12" x14ac:dyDescent="0.25">
      <c r="L1344" s="14"/>
    </row>
    <row r="1345" spans="12:12" x14ac:dyDescent="0.25">
      <c r="L1345" s="14"/>
    </row>
    <row r="1346" spans="12:12" x14ac:dyDescent="0.25">
      <c r="L1346" s="14"/>
    </row>
    <row r="1347" spans="12:12" x14ac:dyDescent="0.25">
      <c r="L1347" s="14"/>
    </row>
    <row r="1348" spans="12:12" x14ac:dyDescent="0.25">
      <c r="L1348" s="14"/>
    </row>
    <row r="1349" spans="12:12" x14ac:dyDescent="0.25">
      <c r="L1349" s="14"/>
    </row>
    <row r="1350" spans="12:12" x14ac:dyDescent="0.25">
      <c r="L1350" s="14"/>
    </row>
    <row r="1351" spans="12:12" x14ac:dyDescent="0.25">
      <c r="L1351" s="14"/>
    </row>
    <row r="1352" spans="12:12" x14ac:dyDescent="0.25">
      <c r="L1352" s="14"/>
    </row>
    <row r="1353" spans="12:12" x14ac:dyDescent="0.25">
      <c r="L1353" s="14"/>
    </row>
    <row r="1354" spans="12:12" x14ac:dyDescent="0.25">
      <c r="L1354" s="14"/>
    </row>
    <row r="1355" spans="12:12" x14ac:dyDescent="0.25">
      <c r="L1355" s="14"/>
    </row>
    <row r="1356" spans="12:12" x14ac:dyDescent="0.25">
      <c r="L1356" s="14"/>
    </row>
    <row r="1357" spans="12:12" x14ac:dyDescent="0.25">
      <c r="L1357" s="14"/>
    </row>
    <row r="1358" spans="12:12" x14ac:dyDescent="0.25">
      <c r="L1358" s="14"/>
    </row>
    <row r="1359" spans="12:12" x14ac:dyDescent="0.25">
      <c r="L1359" s="14"/>
    </row>
    <row r="1360" spans="12:12" x14ac:dyDescent="0.25">
      <c r="L1360" s="14"/>
    </row>
    <row r="1361" spans="12:12" x14ac:dyDescent="0.25">
      <c r="L1361" s="14"/>
    </row>
    <row r="1362" spans="12:12" x14ac:dyDescent="0.25">
      <c r="L1362" s="14"/>
    </row>
    <row r="1363" spans="12:12" x14ac:dyDescent="0.25">
      <c r="L1363" s="14"/>
    </row>
    <row r="1364" spans="12:12" x14ac:dyDescent="0.25">
      <c r="L1364" s="14"/>
    </row>
    <row r="1365" spans="12:12" x14ac:dyDescent="0.25">
      <c r="L1365" s="14"/>
    </row>
    <row r="1366" spans="12:12" x14ac:dyDescent="0.25">
      <c r="L1366" s="14"/>
    </row>
    <row r="1367" spans="12:12" x14ac:dyDescent="0.25">
      <c r="L1367" s="14"/>
    </row>
    <row r="1368" spans="12:12" x14ac:dyDescent="0.25">
      <c r="L1368" s="14"/>
    </row>
    <row r="1369" spans="12:12" x14ac:dyDescent="0.25">
      <c r="L1369" s="14"/>
    </row>
    <row r="1370" spans="12:12" x14ac:dyDescent="0.25">
      <c r="L1370" s="14"/>
    </row>
    <row r="1371" spans="12:12" x14ac:dyDescent="0.25">
      <c r="L1371" s="14"/>
    </row>
    <row r="1372" spans="12:12" x14ac:dyDescent="0.25">
      <c r="L1372" s="14"/>
    </row>
    <row r="1373" spans="12:12" x14ac:dyDescent="0.25">
      <c r="L1373" s="14"/>
    </row>
    <row r="1374" spans="12:12" x14ac:dyDescent="0.25">
      <c r="L1374" s="14"/>
    </row>
    <row r="1375" spans="12:12" x14ac:dyDescent="0.25">
      <c r="L1375" s="14"/>
    </row>
    <row r="1376" spans="12:12" x14ac:dyDescent="0.25">
      <c r="L1376" s="14"/>
    </row>
    <row r="1377" spans="12:12" x14ac:dyDescent="0.25">
      <c r="L1377" s="14"/>
    </row>
    <row r="1378" spans="12:12" x14ac:dyDescent="0.25">
      <c r="L1378" s="14"/>
    </row>
    <row r="1379" spans="12:12" x14ac:dyDescent="0.25">
      <c r="L1379" s="14"/>
    </row>
    <row r="1380" spans="12:12" x14ac:dyDescent="0.25">
      <c r="L1380" s="14"/>
    </row>
    <row r="1381" spans="12:12" x14ac:dyDescent="0.25">
      <c r="L1381" s="14"/>
    </row>
    <row r="1382" spans="12:12" x14ac:dyDescent="0.25">
      <c r="L1382" s="14"/>
    </row>
    <row r="1383" spans="12:12" x14ac:dyDescent="0.25">
      <c r="L1383" s="14"/>
    </row>
    <row r="1384" spans="12:12" x14ac:dyDescent="0.25">
      <c r="L1384" s="14"/>
    </row>
    <row r="1385" spans="12:12" x14ac:dyDescent="0.25">
      <c r="L1385" s="14"/>
    </row>
    <row r="1386" spans="12:12" x14ac:dyDescent="0.25">
      <c r="L1386" s="14"/>
    </row>
    <row r="1387" spans="12:12" x14ac:dyDescent="0.25">
      <c r="L1387" s="14"/>
    </row>
    <row r="1388" spans="12:12" x14ac:dyDescent="0.25">
      <c r="L1388" s="14"/>
    </row>
    <row r="1389" spans="12:12" x14ac:dyDescent="0.25">
      <c r="L1389" s="14"/>
    </row>
    <row r="1390" spans="12:12" x14ac:dyDescent="0.25">
      <c r="L1390" s="14"/>
    </row>
    <row r="1391" spans="12:12" x14ac:dyDescent="0.25">
      <c r="L1391" s="14"/>
    </row>
    <row r="1392" spans="12:12" x14ac:dyDescent="0.25">
      <c r="L1392" s="14"/>
    </row>
    <row r="1393" spans="12:12" x14ac:dyDescent="0.25">
      <c r="L1393" s="14"/>
    </row>
    <row r="1394" spans="12:12" x14ac:dyDescent="0.25">
      <c r="L1394" s="14"/>
    </row>
    <row r="1395" spans="12:12" x14ac:dyDescent="0.25">
      <c r="L1395" s="14"/>
    </row>
    <row r="1396" spans="12:12" x14ac:dyDescent="0.25">
      <c r="L1396" s="14"/>
    </row>
    <row r="1397" spans="12:12" x14ac:dyDescent="0.25">
      <c r="L1397" s="14"/>
    </row>
    <row r="1398" spans="12:12" x14ac:dyDescent="0.25">
      <c r="L1398" s="14"/>
    </row>
    <row r="1399" spans="12:12" x14ac:dyDescent="0.25">
      <c r="L1399" s="14"/>
    </row>
    <row r="1400" spans="12:12" x14ac:dyDescent="0.25">
      <c r="L1400" s="14"/>
    </row>
    <row r="1401" spans="12:12" x14ac:dyDescent="0.25">
      <c r="L1401" s="14"/>
    </row>
    <row r="1402" spans="12:12" x14ac:dyDescent="0.25">
      <c r="L1402" s="14"/>
    </row>
    <row r="1403" spans="12:12" x14ac:dyDescent="0.25">
      <c r="L1403" s="14"/>
    </row>
    <row r="1404" spans="12:12" x14ac:dyDescent="0.25">
      <c r="L1404" s="14"/>
    </row>
    <row r="1405" spans="12:12" x14ac:dyDescent="0.25">
      <c r="L1405" s="14"/>
    </row>
    <row r="1406" spans="12:12" x14ac:dyDescent="0.25">
      <c r="L1406" s="14"/>
    </row>
    <row r="1407" spans="12:12" x14ac:dyDescent="0.25">
      <c r="L1407" s="14"/>
    </row>
    <row r="1408" spans="12:12" x14ac:dyDescent="0.25">
      <c r="L1408" s="14"/>
    </row>
    <row r="1409" spans="12:12" x14ac:dyDescent="0.25">
      <c r="L1409" s="14"/>
    </row>
    <row r="1410" spans="12:12" x14ac:dyDescent="0.25">
      <c r="L1410" s="14"/>
    </row>
    <row r="1411" spans="12:12" x14ac:dyDescent="0.25">
      <c r="L1411" s="14"/>
    </row>
    <row r="1412" spans="12:12" x14ac:dyDescent="0.25">
      <c r="L1412" s="14"/>
    </row>
    <row r="1413" spans="12:12" x14ac:dyDescent="0.25">
      <c r="L1413" s="14"/>
    </row>
    <row r="1414" spans="12:12" x14ac:dyDescent="0.25">
      <c r="L1414" s="14"/>
    </row>
    <row r="1415" spans="12:12" x14ac:dyDescent="0.25">
      <c r="L1415" s="14"/>
    </row>
    <row r="1416" spans="12:12" x14ac:dyDescent="0.25">
      <c r="L1416" s="14"/>
    </row>
    <row r="1417" spans="12:12" x14ac:dyDescent="0.25">
      <c r="L1417" s="14"/>
    </row>
    <row r="1418" spans="12:12" x14ac:dyDescent="0.25">
      <c r="L1418" s="14"/>
    </row>
    <row r="1419" spans="12:12" x14ac:dyDescent="0.25">
      <c r="L1419" s="14"/>
    </row>
    <row r="1420" spans="12:12" x14ac:dyDescent="0.25">
      <c r="L1420" s="14"/>
    </row>
    <row r="1421" spans="12:12" x14ac:dyDescent="0.25">
      <c r="L1421" s="14"/>
    </row>
    <row r="1422" spans="12:12" x14ac:dyDescent="0.25">
      <c r="L1422" s="14"/>
    </row>
    <row r="1423" spans="12:12" x14ac:dyDescent="0.25">
      <c r="L1423" s="14"/>
    </row>
    <row r="1424" spans="12:12" x14ac:dyDescent="0.25">
      <c r="L1424" s="14"/>
    </row>
    <row r="1425" spans="12:12" x14ac:dyDescent="0.25">
      <c r="L1425" s="14"/>
    </row>
    <row r="1426" spans="12:12" x14ac:dyDescent="0.25">
      <c r="L1426" s="14"/>
    </row>
    <row r="1427" spans="12:12" x14ac:dyDescent="0.25">
      <c r="L1427" s="14"/>
    </row>
    <row r="1428" spans="12:12" x14ac:dyDescent="0.25">
      <c r="L1428" s="14"/>
    </row>
    <row r="1429" spans="12:12" x14ac:dyDescent="0.25">
      <c r="L1429" s="14"/>
    </row>
    <row r="1430" spans="12:12" x14ac:dyDescent="0.25">
      <c r="L1430" s="14"/>
    </row>
    <row r="1431" spans="12:12" x14ac:dyDescent="0.25">
      <c r="L1431" s="14"/>
    </row>
    <row r="1432" spans="12:12" x14ac:dyDescent="0.25">
      <c r="L1432" s="14"/>
    </row>
    <row r="1433" spans="12:12" x14ac:dyDescent="0.25">
      <c r="L1433" s="14"/>
    </row>
    <row r="1434" spans="12:12" x14ac:dyDescent="0.25">
      <c r="L1434" s="14"/>
    </row>
    <row r="1435" spans="12:12" x14ac:dyDescent="0.25">
      <c r="L1435" s="14"/>
    </row>
    <row r="1436" spans="12:12" x14ac:dyDescent="0.25">
      <c r="L1436" s="14"/>
    </row>
    <row r="1437" spans="12:12" x14ac:dyDescent="0.25">
      <c r="L1437" s="14"/>
    </row>
    <row r="1438" spans="12:12" x14ac:dyDescent="0.25">
      <c r="L1438" s="14"/>
    </row>
    <row r="1439" spans="12:12" x14ac:dyDescent="0.25">
      <c r="L1439" s="14"/>
    </row>
    <row r="1440" spans="12:12" x14ac:dyDescent="0.25">
      <c r="L1440" s="14"/>
    </row>
    <row r="1441" spans="12:12" x14ac:dyDescent="0.25">
      <c r="L1441" s="14"/>
    </row>
    <row r="1442" spans="12:12" x14ac:dyDescent="0.25">
      <c r="L1442" s="14"/>
    </row>
    <row r="1443" spans="12:12" x14ac:dyDescent="0.25">
      <c r="L1443" s="14"/>
    </row>
    <row r="1444" spans="12:12" x14ac:dyDescent="0.25">
      <c r="L1444" s="14"/>
    </row>
    <row r="1445" spans="12:12" x14ac:dyDescent="0.25">
      <c r="L1445" s="14"/>
    </row>
    <row r="1446" spans="12:12" x14ac:dyDescent="0.25">
      <c r="L1446" s="14"/>
    </row>
    <row r="1447" spans="12:12" x14ac:dyDescent="0.25">
      <c r="L1447" s="14"/>
    </row>
    <row r="1448" spans="12:12" x14ac:dyDescent="0.25">
      <c r="L1448" s="14"/>
    </row>
    <row r="1449" spans="12:12" x14ac:dyDescent="0.25">
      <c r="L1449" s="14"/>
    </row>
    <row r="1450" spans="12:12" x14ac:dyDescent="0.25">
      <c r="L1450" s="14"/>
    </row>
    <row r="1451" spans="12:12" x14ac:dyDescent="0.25">
      <c r="L1451" s="14"/>
    </row>
    <row r="1452" spans="12:12" x14ac:dyDescent="0.25">
      <c r="L1452" s="14"/>
    </row>
    <row r="1453" spans="12:12" x14ac:dyDescent="0.25">
      <c r="L1453" s="14"/>
    </row>
    <row r="1454" spans="12:12" x14ac:dyDescent="0.25">
      <c r="L1454" s="14"/>
    </row>
    <row r="1455" spans="12:12" x14ac:dyDescent="0.25">
      <c r="L1455" s="14"/>
    </row>
    <row r="1456" spans="12:12" x14ac:dyDescent="0.25">
      <c r="L1456" s="14"/>
    </row>
    <row r="1457" spans="12:12" x14ac:dyDescent="0.25">
      <c r="L1457" s="14"/>
    </row>
    <row r="1458" spans="12:12" x14ac:dyDescent="0.25">
      <c r="L1458" s="14"/>
    </row>
    <row r="1459" spans="12:12" x14ac:dyDescent="0.25">
      <c r="L1459" s="14"/>
    </row>
    <row r="1460" spans="12:12" x14ac:dyDescent="0.25">
      <c r="L1460" s="14"/>
    </row>
    <row r="1461" spans="12:12" x14ac:dyDescent="0.25">
      <c r="L1461" s="14"/>
    </row>
    <row r="1462" spans="12:12" x14ac:dyDescent="0.25">
      <c r="L1462" s="14"/>
    </row>
    <row r="1463" spans="12:12" x14ac:dyDescent="0.25">
      <c r="L1463" s="14"/>
    </row>
    <row r="1464" spans="12:12" x14ac:dyDescent="0.25">
      <c r="L1464" s="14"/>
    </row>
    <row r="1465" spans="12:12" x14ac:dyDescent="0.25">
      <c r="L1465" s="14"/>
    </row>
    <row r="1466" spans="12:12" x14ac:dyDescent="0.25">
      <c r="L1466" s="14"/>
    </row>
    <row r="1467" spans="12:12" x14ac:dyDescent="0.25">
      <c r="L1467" s="14"/>
    </row>
    <row r="1468" spans="12:12" x14ac:dyDescent="0.25">
      <c r="L1468" s="14"/>
    </row>
    <row r="1469" spans="12:12" x14ac:dyDescent="0.25">
      <c r="L1469" s="14"/>
    </row>
    <row r="1470" spans="12:12" x14ac:dyDescent="0.25">
      <c r="L1470" s="14"/>
    </row>
    <row r="1471" spans="12:12" x14ac:dyDescent="0.25">
      <c r="L1471" s="14"/>
    </row>
    <row r="1472" spans="12:12" x14ac:dyDescent="0.25">
      <c r="L1472" s="14"/>
    </row>
    <row r="1473" spans="12:12" x14ac:dyDescent="0.25">
      <c r="L1473" s="14"/>
    </row>
    <row r="1474" spans="12:12" x14ac:dyDescent="0.25">
      <c r="L1474" s="14"/>
    </row>
    <row r="1475" spans="12:12" x14ac:dyDescent="0.25">
      <c r="L1475" s="14"/>
    </row>
    <row r="1476" spans="12:12" x14ac:dyDescent="0.25">
      <c r="L1476" s="14"/>
    </row>
    <row r="1477" spans="12:12" x14ac:dyDescent="0.25">
      <c r="L1477" s="14"/>
    </row>
    <row r="1478" spans="12:12" x14ac:dyDescent="0.25">
      <c r="L1478" s="14"/>
    </row>
    <row r="1479" spans="12:12" x14ac:dyDescent="0.25">
      <c r="L1479" s="14"/>
    </row>
    <row r="1480" spans="12:12" x14ac:dyDescent="0.25">
      <c r="L1480" s="14"/>
    </row>
    <row r="1481" spans="12:12" x14ac:dyDescent="0.25">
      <c r="L1481" s="14"/>
    </row>
    <row r="1482" spans="12:12" x14ac:dyDescent="0.25">
      <c r="L1482" s="14"/>
    </row>
    <row r="1483" spans="12:12" x14ac:dyDescent="0.25">
      <c r="L1483" s="14"/>
    </row>
    <row r="1484" spans="12:12" x14ac:dyDescent="0.25">
      <c r="L1484" s="14"/>
    </row>
    <row r="1485" spans="12:12" x14ac:dyDescent="0.25">
      <c r="L1485" s="14"/>
    </row>
    <row r="1486" spans="12:12" x14ac:dyDescent="0.25">
      <c r="L1486" s="14"/>
    </row>
    <row r="1487" spans="12:12" x14ac:dyDescent="0.25">
      <c r="L1487" s="14"/>
    </row>
    <row r="1488" spans="12:12" x14ac:dyDescent="0.25">
      <c r="L1488" s="14"/>
    </row>
    <row r="1489" spans="12:12" x14ac:dyDescent="0.25">
      <c r="L1489" s="14"/>
    </row>
    <row r="1490" spans="12:12" x14ac:dyDescent="0.25">
      <c r="L1490" s="14"/>
    </row>
    <row r="1491" spans="12:12" x14ac:dyDescent="0.25">
      <c r="L1491" s="14"/>
    </row>
    <row r="1492" spans="12:12" x14ac:dyDescent="0.25">
      <c r="L1492" s="14"/>
    </row>
    <row r="1493" spans="12:12" x14ac:dyDescent="0.25">
      <c r="L1493" s="14"/>
    </row>
    <row r="1494" spans="12:12" x14ac:dyDescent="0.25">
      <c r="L1494" s="14"/>
    </row>
    <row r="1495" spans="12:12" x14ac:dyDescent="0.25">
      <c r="L1495" s="14"/>
    </row>
    <row r="1496" spans="12:12" x14ac:dyDescent="0.25">
      <c r="L1496" s="14"/>
    </row>
    <row r="1497" spans="12:12" x14ac:dyDescent="0.25">
      <c r="L1497" s="14"/>
    </row>
    <row r="1498" spans="12:12" x14ac:dyDescent="0.25">
      <c r="L1498" s="14"/>
    </row>
    <row r="1499" spans="12:12" x14ac:dyDescent="0.25">
      <c r="L1499" s="14"/>
    </row>
    <row r="1500" spans="12:12" x14ac:dyDescent="0.25">
      <c r="L1500" s="14"/>
    </row>
    <row r="1501" spans="12:12" x14ac:dyDescent="0.25">
      <c r="L1501" s="14"/>
    </row>
    <row r="1502" spans="12:12" x14ac:dyDescent="0.25">
      <c r="L1502" s="14"/>
    </row>
    <row r="1503" spans="12:12" x14ac:dyDescent="0.25">
      <c r="L1503" s="14"/>
    </row>
    <row r="1504" spans="12:12" x14ac:dyDescent="0.25">
      <c r="L1504" s="14"/>
    </row>
    <row r="1505" spans="12:12" x14ac:dyDescent="0.25">
      <c r="L1505" s="14"/>
    </row>
    <row r="1506" spans="12:12" x14ac:dyDescent="0.25">
      <c r="L1506" s="14"/>
    </row>
    <row r="1507" spans="12:12" x14ac:dyDescent="0.25">
      <c r="L1507" s="14"/>
    </row>
    <row r="1508" spans="12:12" x14ac:dyDescent="0.25">
      <c r="L1508" s="14"/>
    </row>
    <row r="1509" spans="12:12" x14ac:dyDescent="0.25">
      <c r="L1509" s="14"/>
    </row>
    <row r="1510" spans="12:12" x14ac:dyDescent="0.25">
      <c r="L1510" s="14"/>
    </row>
    <row r="1511" spans="12:12" x14ac:dyDescent="0.25">
      <c r="L1511" s="14"/>
    </row>
    <row r="1512" spans="12:12" x14ac:dyDescent="0.25">
      <c r="L1512" s="14"/>
    </row>
    <row r="1513" spans="12:12" x14ac:dyDescent="0.25">
      <c r="L1513" s="14"/>
    </row>
    <row r="1514" spans="12:12" x14ac:dyDescent="0.25">
      <c r="L1514" s="14"/>
    </row>
    <row r="1515" spans="12:12" x14ac:dyDescent="0.25">
      <c r="L1515" s="14"/>
    </row>
    <row r="1516" spans="12:12" x14ac:dyDescent="0.25">
      <c r="L1516" s="14"/>
    </row>
    <row r="1517" spans="12:12" x14ac:dyDescent="0.25">
      <c r="L1517" s="14"/>
    </row>
    <row r="1518" spans="12:12" x14ac:dyDescent="0.25">
      <c r="L1518" s="14"/>
    </row>
    <row r="1519" spans="12:12" x14ac:dyDescent="0.25">
      <c r="L1519" s="14"/>
    </row>
    <row r="1520" spans="12:12" x14ac:dyDescent="0.25">
      <c r="L1520" s="14"/>
    </row>
    <row r="1521" spans="12:12" x14ac:dyDescent="0.25">
      <c r="L1521" s="14"/>
    </row>
    <row r="1522" spans="12:12" x14ac:dyDescent="0.25">
      <c r="L1522" s="14"/>
    </row>
    <row r="1523" spans="12:12" x14ac:dyDescent="0.25">
      <c r="L1523" s="14"/>
    </row>
    <row r="1524" spans="12:12" x14ac:dyDescent="0.25">
      <c r="L1524" s="14"/>
    </row>
    <row r="1525" spans="12:12" x14ac:dyDescent="0.25">
      <c r="L1525" s="14"/>
    </row>
    <row r="1526" spans="12:12" x14ac:dyDescent="0.25">
      <c r="L1526" s="14"/>
    </row>
    <row r="1527" spans="12:12" x14ac:dyDescent="0.25">
      <c r="L1527" s="14"/>
    </row>
    <row r="1528" spans="12:12" x14ac:dyDescent="0.25">
      <c r="L1528" s="14"/>
    </row>
    <row r="1529" spans="12:12" x14ac:dyDescent="0.25">
      <c r="L1529" s="14"/>
    </row>
    <row r="1530" spans="12:12" x14ac:dyDescent="0.25">
      <c r="L1530" s="14"/>
    </row>
    <row r="1531" spans="12:12" x14ac:dyDescent="0.25">
      <c r="L1531" s="14"/>
    </row>
    <row r="1532" spans="12:12" x14ac:dyDescent="0.25">
      <c r="L1532" s="14"/>
    </row>
    <row r="1533" spans="12:12" x14ac:dyDescent="0.25">
      <c r="L1533" s="14"/>
    </row>
    <row r="1534" spans="12:12" x14ac:dyDescent="0.25">
      <c r="L1534" s="14"/>
    </row>
    <row r="1535" spans="12:12" x14ac:dyDescent="0.25">
      <c r="L1535" s="14"/>
    </row>
    <row r="1536" spans="12:12" x14ac:dyDescent="0.25">
      <c r="L1536" s="14"/>
    </row>
    <row r="1537" spans="12:12" x14ac:dyDescent="0.25">
      <c r="L1537" s="14"/>
    </row>
    <row r="1538" spans="12:12" x14ac:dyDescent="0.25">
      <c r="L1538" s="14"/>
    </row>
    <row r="1539" spans="12:12" x14ac:dyDescent="0.25">
      <c r="L1539" s="14"/>
    </row>
    <row r="1540" spans="12:12" x14ac:dyDescent="0.25">
      <c r="L1540" s="14"/>
    </row>
    <row r="1541" spans="12:12" x14ac:dyDescent="0.25">
      <c r="L1541" s="14"/>
    </row>
    <row r="1542" spans="12:12" x14ac:dyDescent="0.25">
      <c r="L1542" s="14"/>
    </row>
    <row r="1543" spans="12:12" x14ac:dyDescent="0.25">
      <c r="L1543" s="14"/>
    </row>
    <row r="1544" spans="12:12" x14ac:dyDescent="0.25">
      <c r="L1544" s="14"/>
    </row>
    <row r="1545" spans="12:12" x14ac:dyDescent="0.25">
      <c r="L1545" s="14"/>
    </row>
    <row r="1546" spans="12:12" x14ac:dyDescent="0.25">
      <c r="L1546" s="14"/>
    </row>
    <row r="1547" spans="12:12" x14ac:dyDescent="0.25">
      <c r="L1547" s="14"/>
    </row>
    <row r="1548" spans="12:12" x14ac:dyDescent="0.25">
      <c r="L1548" s="14"/>
    </row>
    <row r="1549" spans="12:12" x14ac:dyDescent="0.25">
      <c r="L1549" s="14"/>
    </row>
    <row r="1550" spans="12:12" x14ac:dyDescent="0.25">
      <c r="L1550" s="14"/>
    </row>
    <row r="1551" spans="12:12" x14ac:dyDescent="0.25">
      <c r="L1551" s="14"/>
    </row>
    <row r="1552" spans="12:12" x14ac:dyDescent="0.25">
      <c r="L1552" s="14"/>
    </row>
    <row r="1553" spans="12:12" x14ac:dyDescent="0.25">
      <c r="L1553" s="14"/>
    </row>
    <row r="1554" spans="12:12" x14ac:dyDescent="0.25">
      <c r="L1554" s="14"/>
    </row>
    <row r="1555" spans="12:12" x14ac:dyDescent="0.25">
      <c r="L1555" s="14"/>
    </row>
    <row r="1556" spans="12:12" x14ac:dyDescent="0.25">
      <c r="L1556" s="14"/>
    </row>
    <row r="1557" spans="12:12" x14ac:dyDescent="0.25">
      <c r="L1557" s="14"/>
    </row>
    <row r="1558" spans="12:12" x14ac:dyDescent="0.25">
      <c r="L1558" s="14"/>
    </row>
    <row r="1559" spans="12:12" x14ac:dyDescent="0.25">
      <c r="L1559" s="14"/>
    </row>
    <row r="1560" spans="12:12" x14ac:dyDescent="0.25">
      <c r="L1560" s="14"/>
    </row>
    <row r="1561" spans="12:12" x14ac:dyDescent="0.25">
      <c r="L1561" s="14"/>
    </row>
    <row r="1562" spans="12:12" x14ac:dyDescent="0.25">
      <c r="L1562" s="14"/>
    </row>
    <row r="1563" spans="12:12" x14ac:dyDescent="0.25">
      <c r="L1563" s="14"/>
    </row>
    <row r="1564" spans="12:12" x14ac:dyDescent="0.25">
      <c r="L1564" s="14"/>
    </row>
    <row r="1565" spans="12:12" x14ac:dyDescent="0.25">
      <c r="L1565" s="14"/>
    </row>
    <row r="1566" spans="12:12" x14ac:dyDescent="0.25">
      <c r="L1566" s="14"/>
    </row>
    <row r="1567" spans="12:12" x14ac:dyDescent="0.25">
      <c r="L1567" s="14"/>
    </row>
    <row r="1568" spans="12:12" x14ac:dyDescent="0.25">
      <c r="L1568" s="14"/>
    </row>
    <row r="1569" spans="12:12" x14ac:dyDescent="0.25">
      <c r="L1569" s="14"/>
    </row>
    <row r="1570" spans="12:12" x14ac:dyDescent="0.25">
      <c r="L1570" s="14"/>
    </row>
    <row r="1571" spans="12:12" x14ac:dyDescent="0.25">
      <c r="L1571" s="14"/>
    </row>
    <row r="1572" spans="12:12" x14ac:dyDescent="0.25">
      <c r="L1572" s="14"/>
    </row>
    <row r="1573" spans="12:12" x14ac:dyDescent="0.25">
      <c r="L1573" s="14"/>
    </row>
    <row r="1574" spans="12:12" x14ac:dyDescent="0.25">
      <c r="L1574" s="14"/>
    </row>
    <row r="1575" spans="12:12" x14ac:dyDescent="0.25">
      <c r="L1575" s="14"/>
    </row>
    <row r="1576" spans="12:12" x14ac:dyDescent="0.25">
      <c r="L1576" s="14"/>
    </row>
  </sheetData>
  <mergeCells count="1">
    <mergeCell ref="N15:W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PCC Structurals,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Laptop</cp:lastModifiedBy>
  <dcterms:created xsi:type="dcterms:W3CDTF">2016-12-01T18:45:41Z</dcterms:created>
  <dcterms:modified xsi:type="dcterms:W3CDTF">2018-02-06T03:24:55Z</dcterms:modified>
</cp:coreProperties>
</file>